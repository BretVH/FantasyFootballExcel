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v_2valuxe\Downloads\Group Project\"/>
    </mc:Choice>
  </mc:AlternateContent>
  <xr:revisionPtr revIDLastSave="0" documentId="13_ncr:1_{790A3845-2764-451A-86CB-D52FA0BD13CD}" xr6:coauthVersionLast="47" xr6:coauthVersionMax="47" xr10:uidLastSave="{00000000-0000-0000-0000-000000000000}"/>
  <bookViews>
    <workbookView xWindow="-120" yWindow="-120" windowWidth="38640" windowHeight="21120" activeTab="1" xr2:uid="{3F0F1EE9-51B3-41A0-AFCA-65F2FA81C4A3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4" i="2" l="1"/>
  <c r="H164" i="3"/>
  <c r="I164" i="3" s="1"/>
  <c r="H163" i="3"/>
  <c r="I163" i="3" s="1"/>
  <c r="H162" i="3"/>
  <c r="I162" i="3" s="1"/>
  <c r="I161" i="3"/>
  <c r="H161" i="3"/>
  <c r="H160" i="3"/>
  <c r="I160" i="3" s="1"/>
  <c r="H159" i="3"/>
  <c r="I159" i="3" s="1"/>
  <c r="H158" i="3"/>
  <c r="I158" i="3" s="1"/>
  <c r="H157" i="3"/>
  <c r="I157" i="3" s="1"/>
  <c r="H156" i="3"/>
  <c r="I156" i="3" s="1"/>
  <c r="H155" i="3"/>
  <c r="I155" i="3" s="1"/>
  <c r="H154" i="3"/>
  <c r="I154" i="3" s="1"/>
  <c r="I153" i="3"/>
  <c r="H153" i="3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I145" i="3"/>
  <c r="H145" i="3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I137" i="3"/>
  <c r="H137" i="3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I129" i="3"/>
  <c r="H129" i="3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I121" i="3"/>
  <c r="H121" i="3"/>
  <c r="H120" i="3"/>
  <c r="I120" i="3" s="1"/>
  <c r="H119" i="3"/>
  <c r="I119" i="3" s="1"/>
  <c r="H118" i="3"/>
  <c r="I118" i="3" s="1"/>
  <c r="H117" i="3"/>
  <c r="I117" i="3" s="1"/>
  <c r="H116" i="3"/>
  <c r="I116" i="3" s="1"/>
  <c r="H115" i="3"/>
  <c r="I115" i="3" s="1"/>
  <c r="H114" i="3"/>
  <c r="I114" i="3" s="1"/>
  <c r="I113" i="3"/>
  <c r="H113" i="3"/>
  <c r="H112" i="3"/>
  <c r="I112" i="3" s="1"/>
  <c r="H111" i="3"/>
  <c r="I111" i="3" s="1"/>
  <c r="H110" i="3"/>
  <c r="I110" i="3" s="1"/>
  <c r="H109" i="3"/>
  <c r="I109" i="3" s="1"/>
  <c r="H108" i="3"/>
  <c r="I108" i="3" s="1"/>
  <c r="H107" i="3"/>
  <c r="I107" i="3" s="1"/>
  <c r="H106" i="3"/>
  <c r="I106" i="3" s="1"/>
  <c r="I105" i="3"/>
  <c r="H105" i="3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I97" i="3"/>
  <c r="H97" i="3"/>
  <c r="H96" i="3"/>
  <c r="I96" i="3" s="1"/>
  <c r="H95" i="3"/>
  <c r="I95" i="3" s="1"/>
  <c r="H94" i="3"/>
  <c r="I94" i="3" s="1"/>
  <c r="H93" i="3"/>
  <c r="I93" i="3" s="1"/>
  <c r="H92" i="3"/>
  <c r="I92" i="3" s="1"/>
  <c r="H91" i="3"/>
  <c r="I91" i="3" s="1"/>
  <c r="H90" i="3"/>
  <c r="I90" i="3" s="1"/>
  <c r="I89" i="3"/>
  <c r="H89" i="3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I81" i="3"/>
  <c r="H81" i="3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H54" i="3"/>
  <c r="I54" i="3" s="1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30" i="3"/>
  <c r="I30" i="3" s="1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H3" i="3"/>
  <c r="I3" i="3" s="1"/>
  <c r="H2" i="3"/>
  <c r="I2" i="3" s="1"/>
  <c r="I165" i="3" l="1"/>
  <c r="O169" i="3" s="1"/>
  <c r="K2" i="3"/>
  <c r="I164" i="2"/>
  <c r="H163" i="2"/>
  <c r="I163" i="2" s="1"/>
  <c r="H162" i="2"/>
  <c r="I162" i="2" s="1"/>
  <c r="H161" i="2"/>
  <c r="I161" i="2" s="1"/>
  <c r="H160" i="2"/>
  <c r="I160" i="2" s="1"/>
  <c r="H159" i="2"/>
  <c r="I159" i="2" s="1"/>
  <c r="H158" i="2"/>
  <c r="I158" i="2" s="1"/>
  <c r="H157" i="2"/>
  <c r="I157" i="2" s="1"/>
  <c r="H156" i="2"/>
  <c r="I156" i="2" s="1"/>
  <c r="H155" i="2"/>
  <c r="I155" i="2" s="1"/>
  <c r="H154" i="2"/>
  <c r="I154" i="2" s="1"/>
  <c r="H153" i="2"/>
  <c r="I153" i="2" s="1"/>
  <c r="H152" i="2"/>
  <c r="I152" i="2" s="1"/>
  <c r="H151" i="2"/>
  <c r="I151" i="2" s="1"/>
  <c r="H150" i="2"/>
  <c r="I150" i="2" s="1"/>
  <c r="H149" i="2"/>
  <c r="I149" i="2" s="1"/>
  <c r="H148" i="2"/>
  <c r="I148" i="2" s="1"/>
  <c r="H147" i="2"/>
  <c r="I147" i="2" s="1"/>
  <c r="H146" i="2"/>
  <c r="I146" i="2" s="1"/>
  <c r="H145" i="2"/>
  <c r="I145" i="2" s="1"/>
  <c r="H144" i="2"/>
  <c r="I144" i="2" s="1"/>
  <c r="H143" i="2"/>
  <c r="I143" i="2" s="1"/>
  <c r="H142" i="2"/>
  <c r="I142" i="2" s="1"/>
  <c r="H141" i="2"/>
  <c r="I141" i="2" s="1"/>
  <c r="H140" i="2"/>
  <c r="I140" i="2" s="1"/>
  <c r="H139" i="2"/>
  <c r="I139" i="2" s="1"/>
  <c r="H138" i="2"/>
  <c r="I138" i="2" s="1"/>
  <c r="H137" i="2"/>
  <c r="I137" i="2" s="1"/>
  <c r="H136" i="2"/>
  <c r="I136" i="2" s="1"/>
  <c r="H135" i="2"/>
  <c r="I135" i="2" s="1"/>
  <c r="H134" i="2"/>
  <c r="I134" i="2" s="1"/>
  <c r="H133" i="2"/>
  <c r="I133" i="2" s="1"/>
  <c r="H132" i="2"/>
  <c r="I132" i="2" s="1"/>
  <c r="H131" i="2"/>
  <c r="I131" i="2" s="1"/>
  <c r="H130" i="2"/>
  <c r="I130" i="2" s="1"/>
  <c r="H129" i="2"/>
  <c r="I129" i="2" s="1"/>
  <c r="H128" i="2"/>
  <c r="I128" i="2" s="1"/>
  <c r="H127" i="2"/>
  <c r="I127" i="2" s="1"/>
  <c r="H126" i="2"/>
  <c r="I126" i="2" s="1"/>
  <c r="H125" i="2"/>
  <c r="I125" i="2" s="1"/>
  <c r="H124" i="2"/>
  <c r="I124" i="2" s="1"/>
  <c r="H123" i="2"/>
  <c r="I123" i="2" s="1"/>
  <c r="H122" i="2"/>
  <c r="I122" i="2" s="1"/>
  <c r="H121" i="2"/>
  <c r="I121" i="2" s="1"/>
  <c r="H120" i="2"/>
  <c r="I120" i="2" s="1"/>
  <c r="H119" i="2"/>
  <c r="I119" i="2" s="1"/>
  <c r="H118" i="2"/>
  <c r="I118" i="2" s="1"/>
  <c r="H117" i="2"/>
  <c r="I117" i="2" s="1"/>
  <c r="H116" i="2"/>
  <c r="I116" i="2" s="1"/>
  <c r="H115" i="2"/>
  <c r="I115" i="2" s="1"/>
  <c r="H114" i="2"/>
  <c r="I114" i="2" s="1"/>
  <c r="H113" i="2"/>
  <c r="I113" i="2" s="1"/>
  <c r="H112" i="2"/>
  <c r="I112" i="2" s="1"/>
  <c r="H111" i="2"/>
  <c r="I111" i="2" s="1"/>
  <c r="H110" i="2"/>
  <c r="I110" i="2" s="1"/>
  <c r="H109" i="2"/>
  <c r="I109" i="2" s="1"/>
  <c r="H108" i="2"/>
  <c r="I108" i="2" s="1"/>
  <c r="H107" i="2"/>
  <c r="I107" i="2" s="1"/>
  <c r="H106" i="2"/>
  <c r="I106" i="2" s="1"/>
  <c r="H105" i="2"/>
  <c r="I105" i="2" s="1"/>
  <c r="H104" i="2"/>
  <c r="I104" i="2" s="1"/>
  <c r="H103" i="2"/>
  <c r="I103" i="2" s="1"/>
  <c r="H102" i="2"/>
  <c r="I102" i="2" s="1"/>
  <c r="H101" i="2"/>
  <c r="I101" i="2" s="1"/>
  <c r="H100" i="2"/>
  <c r="I100" i="2" s="1"/>
  <c r="H99" i="2"/>
  <c r="I99" i="2" s="1"/>
  <c r="H98" i="2"/>
  <c r="I98" i="2" s="1"/>
  <c r="H97" i="2"/>
  <c r="I97" i="2" s="1"/>
  <c r="H96" i="2"/>
  <c r="I96" i="2" s="1"/>
  <c r="H95" i="2"/>
  <c r="I95" i="2" s="1"/>
  <c r="H94" i="2"/>
  <c r="I94" i="2" s="1"/>
  <c r="H93" i="2"/>
  <c r="I93" i="2" s="1"/>
  <c r="H92" i="2"/>
  <c r="I92" i="2" s="1"/>
  <c r="H91" i="2"/>
  <c r="I91" i="2" s="1"/>
  <c r="H90" i="2"/>
  <c r="I90" i="2" s="1"/>
  <c r="H89" i="2"/>
  <c r="I89" i="2" s="1"/>
  <c r="H88" i="2"/>
  <c r="I88" i="2" s="1"/>
  <c r="H87" i="2"/>
  <c r="I87" i="2" s="1"/>
  <c r="H86" i="2"/>
  <c r="I86" i="2" s="1"/>
  <c r="H85" i="2"/>
  <c r="I85" i="2" s="1"/>
  <c r="H84" i="2"/>
  <c r="I84" i="2" s="1"/>
  <c r="H83" i="2"/>
  <c r="I83" i="2" s="1"/>
  <c r="H82" i="2"/>
  <c r="I82" i="2" s="1"/>
  <c r="H81" i="2"/>
  <c r="I81" i="2" s="1"/>
  <c r="H80" i="2"/>
  <c r="I80" i="2" s="1"/>
  <c r="H79" i="2"/>
  <c r="I79" i="2" s="1"/>
  <c r="H78" i="2"/>
  <c r="I78" i="2" s="1"/>
  <c r="H77" i="2"/>
  <c r="I77" i="2" s="1"/>
  <c r="H76" i="2"/>
  <c r="I76" i="2" s="1"/>
  <c r="H75" i="2"/>
  <c r="I75" i="2" s="1"/>
  <c r="H74" i="2"/>
  <c r="I74" i="2" s="1"/>
  <c r="H73" i="2"/>
  <c r="I73" i="2" s="1"/>
  <c r="H72" i="2"/>
  <c r="I72" i="2" s="1"/>
  <c r="H71" i="2"/>
  <c r="I71" i="2" s="1"/>
  <c r="H70" i="2"/>
  <c r="I70" i="2" s="1"/>
  <c r="H69" i="2"/>
  <c r="I69" i="2" s="1"/>
  <c r="H68" i="2"/>
  <c r="I68" i="2" s="1"/>
  <c r="H67" i="2"/>
  <c r="I67" i="2" s="1"/>
  <c r="H66" i="2"/>
  <c r="I66" i="2" s="1"/>
  <c r="H65" i="2"/>
  <c r="I65" i="2" s="1"/>
  <c r="H64" i="2"/>
  <c r="I64" i="2" s="1"/>
  <c r="H63" i="2"/>
  <c r="I63" i="2" s="1"/>
  <c r="H62" i="2"/>
  <c r="I62" i="2" s="1"/>
  <c r="H61" i="2"/>
  <c r="I61" i="2" s="1"/>
  <c r="H60" i="2"/>
  <c r="I60" i="2" s="1"/>
  <c r="H59" i="2"/>
  <c r="I59" i="2" s="1"/>
  <c r="H58" i="2"/>
  <c r="I58" i="2" s="1"/>
  <c r="H57" i="2"/>
  <c r="I57" i="2" s="1"/>
  <c r="H56" i="2"/>
  <c r="I56" i="2" s="1"/>
  <c r="H55" i="2"/>
  <c r="I55" i="2" s="1"/>
  <c r="H54" i="2"/>
  <c r="I54" i="2" s="1"/>
  <c r="H53" i="2"/>
  <c r="I53" i="2" s="1"/>
  <c r="H52" i="2"/>
  <c r="I52" i="2" s="1"/>
  <c r="H51" i="2"/>
  <c r="I51" i="2" s="1"/>
  <c r="H50" i="2"/>
  <c r="I50" i="2" s="1"/>
  <c r="H49" i="2"/>
  <c r="I49" i="2" s="1"/>
  <c r="H48" i="2"/>
  <c r="I48" i="2" s="1"/>
  <c r="H47" i="2"/>
  <c r="I47" i="2" s="1"/>
  <c r="H46" i="2"/>
  <c r="I46" i="2" s="1"/>
  <c r="H45" i="2"/>
  <c r="I45" i="2" s="1"/>
  <c r="H44" i="2"/>
  <c r="I44" i="2" s="1"/>
  <c r="H43" i="2"/>
  <c r="I43" i="2" s="1"/>
  <c r="H42" i="2"/>
  <c r="I42" i="2" s="1"/>
  <c r="H41" i="2"/>
  <c r="I41" i="2" s="1"/>
  <c r="H40" i="2"/>
  <c r="I40" i="2" s="1"/>
  <c r="H39" i="2"/>
  <c r="I39" i="2" s="1"/>
  <c r="H38" i="2"/>
  <c r="I38" i="2" s="1"/>
  <c r="H37" i="2"/>
  <c r="I37" i="2" s="1"/>
  <c r="H36" i="2"/>
  <c r="I36" i="2" s="1"/>
  <c r="H35" i="2"/>
  <c r="I35" i="2" s="1"/>
  <c r="H34" i="2"/>
  <c r="I34" i="2" s="1"/>
  <c r="H33" i="2"/>
  <c r="I33" i="2" s="1"/>
  <c r="H32" i="2"/>
  <c r="I32" i="2" s="1"/>
  <c r="H31" i="2"/>
  <c r="I31" i="2" s="1"/>
  <c r="H30" i="2"/>
  <c r="I30" i="2" s="1"/>
  <c r="H29" i="2"/>
  <c r="I29" i="2" s="1"/>
  <c r="H28" i="2"/>
  <c r="I28" i="2" s="1"/>
  <c r="H27" i="2"/>
  <c r="I27" i="2" s="1"/>
  <c r="H26" i="2"/>
  <c r="I26" i="2" s="1"/>
  <c r="H25" i="2"/>
  <c r="I25" i="2" s="1"/>
  <c r="H24" i="2"/>
  <c r="I24" i="2" s="1"/>
  <c r="H23" i="2"/>
  <c r="I23" i="2" s="1"/>
  <c r="H22" i="2"/>
  <c r="I22" i="2" s="1"/>
  <c r="H21" i="2"/>
  <c r="I21" i="2" s="1"/>
  <c r="H20" i="2"/>
  <c r="I20" i="2" s="1"/>
  <c r="H19" i="2"/>
  <c r="I19" i="2" s="1"/>
  <c r="H18" i="2"/>
  <c r="I18" i="2" s="1"/>
  <c r="H17" i="2"/>
  <c r="I17" i="2" s="1"/>
  <c r="H16" i="2"/>
  <c r="I16" i="2" s="1"/>
  <c r="H15" i="2"/>
  <c r="I15" i="2" s="1"/>
  <c r="H14" i="2"/>
  <c r="I14" i="2" s="1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I3" i="2" s="1"/>
  <c r="I2" i="2"/>
  <c r="H2" i="2"/>
  <c r="K2" i="2" s="1"/>
  <c r="I165" i="2" l="1"/>
</calcChain>
</file>

<file path=xl/sharedStrings.xml><?xml version="1.0" encoding="utf-8"?>
<sst xmlns="http://schemas.openxmlformats.org/spreadsheetml/2006/main" count="93" uniqueCount="47">
  <si>
    <t>Team No</t>
  </si>
  <si>
    <t>Team Name</t>
  </si>
  <si>
    <t>Team Rating</t>
  </si>
  <si>
    <t>Visiting Team No</t>
  </si>
  <si>
    <t>Home Team No</t>
  </si>
  <si>
    <t>Margin of Home Team  Victory</t>
  </si>
  <si>
    <t>Estimated Margin</t>
  </si>
  <si>
    <t>Correct</t>
  </si>
  <si>
    <t>Buffalo</t>
  </si>
  <si>
    <t>SSE</t>
  </si>
  <si>
    <t>LARams</t>
  </si>
  <si>
    <t>Baltimore</t>
  </si>
  <si>
    <t>NYJets</t>
  </si>
  <si>
    <t>NewOrleans</t>
  </si>
  <si>
    <t>Atlanta</t>
  </si>
  <si>
    <t>NewEngland</t>
  </si>
  <si>
    <t>Miami</t>
  </si>
  <si>
    <t>Cleveland</t>
  </si>
  <si>
    <t>Carolina</t>
  </si>
  <si>
    <t>Pittsburgh</t>
  </si>
  <si>
    <t>Cincinnati</t>
  </si>
  <si>
    <t>SanFrancisco</t>
  </si>
  <si>
    <t>Chicago</t>
  </si>
  <si>
    <t>Philadelphia</t>
  </si>
  <si>
    <t>Detroit</t>
  </si>
  <si>
    <t>Indianapolis</t>
  </si>
  <si>
    <t>Houston</t>
  </si>
  <si>
    <t>Jacksonville</t>
  </si>
  <si>
    <t>Washington</t>
  </si>
  <si>
    <t>KansasCity</t>
  </si>
  <si>
    <t>Arizona</t>
  </si>
  <si>
    <t>LasVegas</t>
  </si>
  <si>
    <t>LAChargers</t>
  </si>
  <si>
    <t>GreenBay</t>
  </si>
  <si>
    <t>Minnesota</t>
  </si>
  <si>
    <t>NYGiants</t>
  </si>
  <si>
    <t>Tennessee</t>
  </si>
  <si>
    <t>TampaBay</t>
  </si>
  <si>
    <t>Dallas</t>
  </si>
  <si>
    <t>Denver</t>
  </si>
  <si>
    <t>Seattle</t>
  </si>
  <si>
    <t xml:space="preserve"> </t>
  </si>
  <si>
    <t>Home Team Advantage</t>
  </si>
  <si>
    <t>Total:</t>
  </si>
  <si>
    <t>Number of Games:</t>
  </si>
  <si>
    <t>Games Predicted:</t>
  </si>
  <si>
    <t>Accuracy: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</si>
</sst>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file:///C:\Users\Bretv_2valuxe\Downloads\Group%20Project\nfl-jacksonville-jaguars-team-logo.gif" TargetMode="External"/><Relationship Id="rId4" Type="http://schemas.openxmlformats.org/officeDocument/2006/relationships/image" Target="file:///C:\Users\Bretv_2valuxe\Downloads\Group%20Project\washington-football-team-logo.gif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18" Type="http://schemas.openxmlformats.org/officeDocument/2006/relationships/image" Target="../media/image2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17" Type="http://schemas.openxmlformats.org/officeDocument/2006/relationships/image" Target="../media/image3.emf"/><Relationship Id="rId2" Type="http://schemas.openxmlformats.org/officeDocument/2006/relationships/image" Target="../media/image8.emf"/><Relationship Id="rId16" Type="http://schemas.openxmlformats.org/officeDocument/2006/relationships/image" Target="../media/image4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5" Type="http://schemas.openxmlformats.org/officeDocument/2006/relationships/image" Target="../media/image5.emf"/><Relationship Id="rId10" Type="http://schemas.openxmlformats.org/officeDocument/2006/relationships/image" Target="../media/image16.emf"/><Relationship Id="rId19" Type="http://schemas.openxmlformats.org/officeDocument/2006/relationships/image" Target="../media/image1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22</xdr:row>
          <xdr:rowOff>85725</xdr:rowOff>
        </xdr:from>
        <xdr:to>
          <xdr:col>5</xdr:col>
          <xdr:colOff>47625</xdr:colOff>
          <xdr:row>23</xdr:row>
          <xdr:rowOff>114300</xdr:rowOff>
        </xdr:to>
        <xdr:sp macro="" textlink="">
          <xdr:nvSpPr>
            <xdr:cNvPr id="1026" name="cboHomeTea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22</xdr:row>
          <xdr:rowOff>38100</xdr:rowOff>
        </xdr:from>
        <xdr:to>
          <xdr:col>8</xdr:col>
          <xdr:colOff>276225</xdr:colOff>
          <xdr:row>26</xdr:row>
          <xdr:rowOff>19050</xdr:rowOff>
        </xdr:to>
        <xdr:sp macro="" textlink="">
          <xdr:nvSpPr>
            <xdr:cNvPr id="1028" name="lblAwayTea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104775</xdr:rowOff>
        </xdr:from>
        <xdr:to>
          <xdr:col>5</xdr:col>
          <xdr:colOff>66675</xdr:colOff>
          <xdr:row>28</xdr:row>
          <xdr:rowOff>104775</xdr:rowOff>
        </xdr:to>
        <xdr:sp macro="" textlink="">
          <xdr:nvSpPr>
            <xdr:cNvPr id="1029" name="cmdGetVisitingTeam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4</xdr:row>
          <xdr:rowOff>95250</xdr:rowOff>
        </xdr:from>
        <xdr:to>
          <xdr:col>3</xdr:col>
          <xdr:colOff>266700</xdr:colOff>
          <xdr:row>5</xdr:row>
          <xdr:rowOff>133350</xdr:rowOff>
        </xdr:to>
        <xdr:sp macro="" textlink="">
          <xdr:nvSpPr>
            <xdr:cNvPr id="1030" name="lblHomeTeam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4</xdr:row>
          <xdr:rowOff>28575</xdr:rowOff>
        </xdr:from>
        <xdr:to>
          <xdr:col>8</xdr:col>
          <xdr:colOff>447675</xdr:colOff>
          <xdr:row>5</xdr:row>
          <xdr:rowOff>66675</xdr:rowOff>
        </xdr:to>
        <xdr:sp macro="" textlink="">
          <xdr:nvSpPr>
            <xdr:cNvPr id="1031" name="lblVisitingTeam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133350</xdr:rowOff>
        </xdr:from>
        <xdr:to>
          <xdr:col>7</xdr:col>
          <xdr:colOff>342900</xdr:colOff>
          <xdr:row>34</xdr:row>
          <xdr:rowOff>161925</xdr:rowOff>
        </xdr:to>
        <xdr:sp macro="" textlink="">
          <xdr:nvSpPr>
            <xdr:cNvPr id="1032" name="cmdCalculateRatingsAndScor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152400</xdr:rowOff>
        </xdr:from>
        <xdr:to>
          <xdr:col>4</xdr:col>
          <xdr:colOff>495300</xdr:colOff>
          <xdr:row>52</xdr:row>
          <xdr:rowOff>76200</xdr:rowOff>
        </xdr:to>
        <xdr:sp macro="" textlink="">
          <xdr:nvSpPr>
            <xdr:cNvPr id="1033" name="cmdSumma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28575</xdr:rowOff>
        </xdr:from>
        <xdr:to>
          <xdr:col>4</xdr:col>
          <xdr:colOff>447675</xdr:colOff>
          <xdr:row>54</xdr:row>
          <xdr:rowOff>142875</xdr:rowOff>
        </xdr:to>
        <xdr:sp macro="" textlink="">
          <xdr:nvSpPr>
            <xdr:cNvPr id="1034" name="cmdCalculatePredictionAccurrac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31</xdr:row>
          <xdr:rowOff>123825</xdr:rowOff>
        </xdr:from>
        <xdr:to>
          <xdr:col>10</xdr:col>
          <xdr:colOff>66675</xdr:colOff>
          <xdr:row>32</xdr:row>
          <xdr:rowOff>161925</xdr:rowOff>
        </xdr:to>
        <xdr:sp macro="" textlink="">
          <xdr:nvSpPr>
            <xdr:cNvPr id="1035" name="lblTrueFinalScoreDifferentia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42</xdr:row>
          <xdr:rowOff>66675</xdr:rowOff>
        </xdr:from>
        <xdr:to>
          <xdr:col>4</xdr:col>
          <xdr:colOff>142875</xdr:colOff>
          <xdr:row>43</xdr:row>
          <xdr:rowOff>161925</xdr:rowOff>
        </xdr:to>
        <xdr:sp macro="" textlink="">
          <xdr:nvSpPr>
            <xdr:cNvPr id="1036" name="cboHomeTeamPredicti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42</xdr:row>
          <xdr:rowOff>76200</xdr:rowOff>
        </xdr:from>
        <xdr:to>
          <xdr:col>7</xdr:col>
          <xdr:colOff>504825</xdr:colOff>
          <xdr:row>43</xdr:row>
          <xdr:rowOff>180975</xdr:rowOff>
        </xdr:to>
        <xdr:sp macro="" textlink="">
          <xdr:nvSpPr>
            <xdr:cNvPr id="1037" name="cboAwayTeamPredicti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47625</xdr:rowOff>
        </xdr:from>
        <xdr:to>
          <xdr:col>2</xdr:col>
          <xdr:colOff>447675</xdr:colOff>
          <xdr:row>41</xdr:row>
          <xdr:rowOff>85725</xdr:rowOff>
        </xdr:to>
        <xdr:sp macro="" textlink="">
          <xdr:nvSpPr>
            <xdr:cNvPr id="1038" name="Label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40</xdr:row>
          <xdr:rowOff>9525</xdr:rowOff>
        </xdr:from>
        <xdr:to>
          <xdr:col>6</xdr:col>
          <xdr:colOff>66675</xdr:colOff>
          <xdr:row>41</xdr:row>
          <xdr:rowOff>47625</xdr:rowOff>
        </xdr:to>
        <xdr:sp macro="" textlink="">
          <xdr:nvSpPr>
            <xdr:cNvPr id="1039" name="Label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228600</xdr:colOff>
      <xdr:row>6</xdr:row>
      <xdr:rowOff>28575</xdr:rowOff>
    </xdr:from>
    <xdr:to>
      <xdr:col>12</xdr:col>
      <xdr:colOff>428625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0" y="1171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16</xdr:row>
      <xdr:rowOff>28575</xdr:rowOff>
    </xdr:from>
    <xdr:to>
      <xdr:col>12</xdr:col>
      <xdr:colOff>371475</xdr:colOff>
      <xdr:row>20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076575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257175</xdr:colOff>
      <xdr:row>11</xdr:row>
      <xdr:rowOff>123825</xdr:rowOff>
    </xdr:from>
    <xdr:to>
      <xdr:col>12</xdr:col>
      <xdr:colOff>361950</xdr:colOff>
      <xdr:row>15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2219325"/>
          <a:ext cx="714375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45</xdr:row>
          <xdr:rowOff>104775</xdr:rowOff>
        </xdr:from>
        <xdr:to>
          <xdr:col>3</xdr:col>
          <xdr:colOff>0</xdr:colOff>
          <xdr:row>46</xdr:row>
          <xdr:rowOff>142875</xdr:rowOff>
        </xdr:to>
        <xdr:sp macro="" textlink="">
          <xdr:nvSpPr>
            <xdr:cNvPr id="1041" name="lblHomeTeamRating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45</xdr:row>
          <xdr:rowOff>161925</xdr:rowOff>
        </xdr:from>
        <xdr:to>
          <xdr:col>5</xdr:col>
          <xdr:colOff>447675</xdr:colOff>
          <xdr:row>47</xdr:row>
          <xdr:rowOff>9525</xdr:rowOff>
        </xdr:to>
        <xdr:sp macro="" textlink="">
          <xdr:nvSpPr>
            <xdr:cNvPr id="1042" name="lblAwayTeamRating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9525</xdr:rowOff>
        </xdr:from>
        <xdr:to>
          <xdr:col>4</xdr:col>
          <xdr:colOff>28575</xdr:colOff>
          <xdr:row>49</xdr:row>
          <xdr:rowOff>123825</xdr:rowOff>
        </xdr:to>
        <xdr:sp macro="" textlink="">
          <xdr:nvSpPr>
            <xdr:cNvPr id="1043" name="cmdGetRating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F44E480-1E83-1628-977E-FF95479FA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C699493-8381-029A-7389-709B0B465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57AB65E-3925-BBDB-E23D-F2469D4B5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1</xdr:row>
      <xdr:rowOff>114300</xdr:rowOff>
    </xdr:from>
    <xdr:to>
      <xdr:col>12</xdr:col>
      <xdr:colOff>495300</xdr:colOff>
      <xdr:row>16</xdr:row>
      <xdr:rowOff>114300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52BAC46-074A-0E2B-275D-D0780C75E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953000" y="304800"/>
          <a:ext cx="2857500" cy="2857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31</xdr:row>
          <xdr:rowOff>76200</xdr:rowOff>
        </xdr:from>
        <xdr:to>
          <xdr:col>12</xdr:col>
          <xdr:colOff>133350</xdr:colOff>
          <xdr:row>32</xdr:row>
          <xdr:rowOff>114300</xdr:rowOff>
        </xdr:to>
        <xdr:sp macro="" textlink="">
          <xdr:nvSpPr>
            <xdr:cNvPr id="1044" name="lblEstimatedMarginValu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29</xdr:row>
          <xdr:rowOff>95250</xdr:rowOff>
        </xdr:from>
        <xdr:to>
          <xdr:col>9</xdr:col>
          <xdr:colOff>352425</xdr:colOff>
          <xdr:row>30</xdr:row>
          <xdr:rowOff>133350</xdr:rowOff>
        </xdr:to>
        <xdr:sp macro="" textlink="">
          <xdr:nvSpPr>
            <xdr:cNvPr id="1045" name="lblMargi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29</xdr:row>
          <xdr:rowOff>38100</xdr:rowOff>
        </xdr:from>
        <xdr:to>
          <xdr:col>12</xdr:col>
          <xdr:colOff>247650</xdr:colOff>
          <xdr:row>30</xdr:row>
          <xdr:rowOff>76200</xdr:rowOff>
        </xdr:to>
        <xdr:sp macro="" textlink="">
          <xdr:nvSpPr>
            <xdr:cNvPr id="1046" name="lblEstimatedMargin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0F36035-34A2-2907-5BA8-BBF59300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A7C77C0-3CED-A517-3BCB-702ACDCC9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F7BD1D5-B72C-FF99-AAAA-09F857C4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565F9F6C-392A-9A5A-963A-5F6AA7791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C18FD0F-DD71-1F18-A74F-3D101C6AB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F8049465-0E39-19F5-6C97-ED25FE3D7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BAA77F6C-439A-85A6-F59B-FC03FC208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BFA3460F-8172-F3EC-8EA7-B0863AAF3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8" Type="http://schemas.openxmlformats.org/officeDocument/2006/relationships/image" Target="../media/image3.emf"/><Relationship Id="rId3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D790E-6A3A-4EAD-BE41-D8B1B692F356}">
  <sheetPr codeName="Sheet1"/>
  <dimension ref="A1"/>
  <sheetViews>
    <sheetView topLeftCell="B4" workbookViewId="0">
      <selection activeCell="D4" sqref="D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6" r:id="rId3" name="lblEstimatedMargin">
          <controlPr defaultSize="0" autoLine="0" r:id="rId4">
            <anchor moveWithCells="1">
              <from>
                <xdr:col>10</xdr:col>
                <xdr:colOff>552450</xdr:colOff>
                <xdr:row>29</xdr:row>
                <xdr:rowOff>38100</xdr:rowOff>
              </from>
              <to>
                <xdr:col>12</xdr:col>
                <xdr:colOff>247650</xdr:colOff>
                <xdr:row>30</xdr:row>
                <xdr:rowOff>76200</xdr:rowOff>
              </to>
            </anchor>
          </controlPr>
        </control>
      </mc:Choice>
      <mc:Fallback>
        <control shapeId="1046" r:id="rId3" name="lblEstimatedMargin"/>
      </mc:Fallback>
    </mc:AlternateContent>
    <mc:AlternateContent xmlns:mc="http://schemas.openxmlformats.org/markup-compatibility/2006">
      <mc:Choice Requires="x14">
        <control shapeId="1045" r:id="rId5" name="lblMargin">
          <controlPr defaultSize="0" autoLine="0" r:id="rId6">
            <anchor moveWithCells="1">
              <from>
                <xdr:col>8</xdr:col>
                <xdr:colOff>47625</xdr:colOff>
                <xdr:row>29</xdr:row>
                <xdr:rowOff>95250</xdr:rowOff>
              </from>
              <to>
                <xdr:col>9</xdr:col>
                <xdr:colOff>352425</xdr:colOff>
                <xdr:row>30</xdr:row>
                <xdr:rowOff>133350</xdr:rowOff>
              </to>
            </anchor>
          </controlPr>
        </control>
      </mc:Choice>
      <mc:Fallback>
        <control shapeId="1045" r:id="rId5" name="lblMargin"/>
      </mc:Fallback>
    </mc:AlternateContent>
    <mc:AlternateContent xmlns:mc="http://schemas.openxmlformats.org/markup-compatibility/2006">
      <mc:Choice Requires="x14">
        <control shapeId="1044" r:id="rId7" name="lblEstimatedMarginValue">
          <controlPr defaultSize="0" autoLine="0" r:id="rId8">
            <anchor moveWithCells="1">
              <from>
                <xdr:col>10</xdr:col>
                <xdr:colOff>438150</xdr:colOff>
                <xdr:row>31</xdr:row>
                <xdr:rowOff>76200</xdr:rowOff>
              </from>
              <to>
                <xdr:col>12</xdr:col>
                <xdr:colOff>133350</xdr:colOff>
                <xdr:row>32</xdr:row>
                <xdr:rowOff>114300</xdr:rowOff>
              </to>
            </anchor>
          </controlPr>
        </control>
      </mc:Choice>
      <mc:Fallback>
        <control shapeId="1044" r:id="rId7" name="lblEstimatedMarginValue"/>
      </mc:Fallback>
    </mc:AlternateContent>
    <mc:AlternateContent xmlns:mc="http://schemas.openxmlformats.org/markup-compatibility/2006">
      <mc:Choice Requires="x14">
        <control shapeId="1043" r:id="rId9" name="cmdGetRatings">
          <controlPr defaultSize="0" autoLine="0" r:id="rId10">
            <anchor moveWithCells="1">
              <from>
                <xdr:col>1</xdr:col>
                <xdr:colOff>180975</xdr:colOff>
                <xdr:row>48</xdr:row>
                <xdr:rowOff>9525</xdr:rowOff>
              </from>
              <to>
                <xdr:col>4</xdr:col>
                <xdr:colOff>28575</xdr:colOff>
                <xdr:row>49</xdr:row>
                <xdr:rowOff>123825</xdr:rowOff>
              </to>
            </anchor>
          </controlPr>
        </control>
      </mc:Choice>
      <mc:Fallback>
        <control shapeId="1043" r:id="rId9" name="cmdGetRatings"/>
      </mc:Fallback>
    </mc:AlternateContent>
    <mc:AlternateContent xmlns:mc="http://schemas.openxmlformats.org/markup-compatibility/2006">
      <mc:Choice Requires="x14">
        <control shapeId="1042" r:id="rId11" name="lblAwayTeamRating">
          <controlPr defaultSize="0" autoLine="0" r:id="rId12">
            <anchor moveWithCells="1">
              <from>
                <xdr:col>4</xdr:col>
                <xdr:colOff>142875</xdr:colOff>
                <xdr:row>45</xdr:row>
                <xdr:rowOff>161925</xdr:rowOff>
              </from>
              <to>
                <xdr:col>5</xdr:col>
                <xdr:colOff>447675</xdr:colOff>
                <xdr:row>47</xdr:row>
                <xdr:rowOff>9525</xdr:rowOff>
              </to>
            </anchor>
          </controlPr>
        </control>
      </mc:Choice>
      <mc:Fallback>
        <control shapeId="1042" r:id="rId11" name="lblAwayTeamRating"/>
      </mc:Fallback>
    </mc:AlternateContent>
    <mc:AlternateContent xmlns:mc="http://schemas.openxmlformats.org/markup-compatibility/2006">
      <mc:Choice Requires="x14">
        <control shapeId="1041" r:id="rId13" name="lblHomeTeamRating">
          <controlPr defaultSize="0" autoLine="0" r:id="rId14">
            <anchor moveWithCells="1">
              <from>
                <xdr:col>1</xdr:col>
                <xdr:colOff>304800</xdr:colOff>
                <xdr:row>45</xdr:row>
                <xdr:rowOff>104775</xdr:rowOff>
              </from>
              <to>
                <xdr:col>3</xdr:col>
                <xdr:colOff>0</xdr:colOff>
                <xdr:row>46</xdr:row>
                <xdr:rowOff>142875</xdr:rowOff>
              </to>
            </anchor>
          </controlPr>
        </control>
      </mc:Choice>
      <mc:Fallback>
        <control shapeId="1041" r:id="rId13" name="lblHomeTeamRating"/>
      </mc:Fallback>
    </mc:AlternateContent>
    <mc:AlternateContent xmlns:mc="http://schemas.openxmlformats.org/markup-compatibility/2006">
      <mc:Choice Requires="x14">
        <control shapeId="1026" r:id="rId15" name="cboHomeTeam">
          <controlPr defaultSize="0" autoLine="0" r:id="rId16">
            <anchor moveWithCells="1">
              <from>
                <xdr:col>1</xdr:col>
                <xdr:colOff>114300</xdr:colOff>
                <xdr:row>22</xdr:row>
                <xdr:rowOff>85725</xdr:rowOff>
              </from>
              <to>
                <xdr:col>5</xdr:col>
                <xdr:colOff>47625</xdr:colOff>
                <xdr:row>23</xdr:row>
                <xdr:rowOff>114300</xdr:rowOff>
              </to>
            </anchor>
          </controlPr>
        </control>
      </mc:Choice>
      <mc:Fallback>
        <control shapeId="1026" r:id="rId15" name="cboHomeTeam"/>
      </mc:Fallback>
    </mc:AlternateContent>
    <mc:AlternateContent xmlns:mc="http://schemas.openxmlformats.org/markup-compatibility/2006">
      <mc:Choice Requires="x14">
        <control shapeId="1028" r:id="rId17" name="lblAwayTeam">
          <controlPr defaultSize="0" disabled="1" autoLine="0" r:id="rId18">
            <anchor moveWithCells="1">
              <from>
                <xdr:col>6</xdr:col>
                <xdr:colOff>314325</xdr:colOff>
                <xdr:row>22</xdr:row>
                <xdr:rowOff>38100</xdr:rowOff>
              </from>
              <to>
                <xdr:col>8</xdr:col>
                <xdr:colOff>276225</xdr:colOff>
                <xdr:row>26</xdr:row>
                <xdr:rowOff>19050</xdr:rowOff>
              </to>
            </anchor>
          </controlPr>
        </control>
      </mc:Choice>
      <mc:Fallback>
        <control shapeId="1028" r:id="rId17" name="lblAwayTeam"/>
      </mc:Fallback>
    </mc:AlternateContent>
    <mc:AlternateContent xmlns:mc="http://schemas.openxmlformats.org/markup-compatibility/2006">
      <mc:Choice Requires="x14">
        <control shapeId="1029" r:id="rId19" name="cmdGetVisitingTeam">
          <controlPr defaultSize="0" disabled="1" autoLine="0" r:id="rId20">
            <anchor moveWithCells="1">
              <from>
                <xdr:col>1</xdr:col>
                <xdr:colOff>180975</xdr:colOff>
                <xdr:row>26</xdr:row>
                <xdr:rowOff>104775</xdr:rowOff>
              </from>
              <to>
                <xdr:col>5</xdr:col>
                <xdr:colOff>66675</xdr:colOff>
                <xdr:row>28</xdr:row>
                <xdr:rowOff>104775</xdr:rowOff>
              </to>
            </anchor>
          </controlPr>
        </control>
      </mc:Choice>
      <mc:Fallback>
        <control shapeId="1029" r:id="rId19" name="cmdGetVisitingTeam"/>
      </mc:Fallback>
    </mc:AlternateContent>
    <mc:AlternateContent xmlns:mc="http://schemas.openxmlformats.org/markup-compatibility/2006">
      <mc:Choice Requires="x14">
        <control shapeId="1030" r:id="rId21" name="lblHomeTeam">
          <controlPr defaultSize="0" autoLine="0" r:id="rId22">
            <anchor moveWithCells="1">
              <from>
                <xdr:col>1</xdr:col>
                <xdr:colOff>571500</xdr:colOff>
                <xdr:row>4</xdr:row>
                <xdr:rowOff>95250</xdr:rowOff>
              </from>
              <to>
                <xdr:col>3</xdr:col>
                <xdr:colOff>266700</xdr:colOff>
                <xdr:row>5</xdr:row>
                <xdr:rowOff>133350</xdr:rowOff>
              </to>
            </anchor>
          </controlPr>
        </control>
      </mc:Choice>
      <mc:Fallback>
        <control shapeId="1030" r:id="rId21" name="lblHomeTeam"/>
      </mc:Fallback>
    </mc:AlternateContent>
    <mc:AlternateContent xmlns:mc="http://schemas.openxmlformats.org/markup-compatibility/2006">
      <mc:Choice Requires="x14">
        <control shapeId="1031" r:id="rId23" name="lblVisitingTeam">
          <controlPr defaultSize="0" autoLine="0" r:id="rId24">
            <anchor moveWithCells="1">
              <from>
                <xdr:col>7</xdr:col>
                <xdr:colOff>142875</xdr:colOff>
                <xdr:row>4</xdr:row>
                <xdr:rowOff>28575</xdr:rowOff>
              </from>
              <to>
                <xdr:col>8</xdr:col>
                <xdr:colOff>447675</xdr:colOff>
                <xdr:row>5</xdr:row>
                <xdr:rowOff>66675</xdr:rowOff>
              </to>
            </anchor>
          </controlPr>
        </control>
      </mc:Choice>
      <mc:Fallback>
        <control shapeId="1031" r:id="rId23" name="lblVisitingTeam"/>
      </mc:Fallback>
    </mc:AlternateContent>
    <mc:AlternateContent xmlns:mc="http://schemas.openxmlformats.org/markup-compatibility/2006">
      <mc:Choice Requires="x14">
        <control shapeId="1032" r:id="rId25" name="cmdCalculateRatingsAndScore">
          <controlPr defaultSize="0" autoLine="0" r:id="rId26">
            <anchor moveWithCells="1">
              <from>
                <xdr:col>1</xdr:col>
                <xdr:colOff>171450</xdr:colOff>
                <xdr:row>29</xdr:row>
                <xdr:rowOff>133350</xdr:rowOff>
              </from>
              <to>
                <xdr:col>7</xdr:col>
                <xdr:colOff>342900</xdr:colOff>
                <xdr:row>34</xdr:row>
                <xdr:rowOff>161925</xdr:rowOff>
              </to>
            </anchor>
          </controlPr>
        </control>
      </mc:Choice>
      <mc:Fallback>
        <control shapeId="1032" r:id="rId25" name="cmdCalculateRatingsAndScore"/>
      </mc:Fallback>
    </mc:AlternateContent>
    <mc:AlternateContent xmlns:mc="http://schemas.openxmlformats.org/markup-compatibility/2006">
      <mc:Choice Requires="x14">
        <control shapeId="1033" r:id="rId27" name="cmdSummary">
          <controlPr defaultSize="0" autoLine="0" r:id="rId28">
            <anchor moveWithCells="1">
              <from>
                <xdr:col>1</xdr:col>
                <xdr:colOff>142875</xdr:colOff>
                <xdr:row>50</xdr:row>
                <xdr:rowOff>152400</xdr:rowOff>
              </from>
              <to>
                <xdr:col>4</xdr:col>
                <xdr:colOff>495300</xdr:colOff>
                <xdr:row>52</xdr:row>
                <xdr:rowOff>76200</xdr:rowOff>
              </to>
            </anchor>
          </controlPr>
        </control>
      </mc:Choice>
      <mc:Fallback>
        <control shapeId="1033" r:id="rId27" name="cmdSummary"/>
      </mc:Fallback>
    </mc:AlternateContent>
    <mc:AlternateContent xmlns:mc="http://schemas.openxmlformats.org/markup-compatibility/2006">
      <mc:Choice Requires="x14">
        <control shapeId="1034" r:id="rId29" name="cmdCalculatePredictionAccurracy">
          <controlPr defaultSize="0" autoLine="0" r:id="rId30">
            <anchor moveWithCells="1">
              <from>
                <xdr:col>1</xdr:col>
                <xdr:colOff>142875</xdr:colOff>
                <xdr:row>53</xdr:row>
                <xdr:rowOff>28575</xdr:rowOff>
              </from>
              <to>
                <xdr:col>4</xdr:col>
                <xdr:colOff>447675</xdr:colOff>
                <xdr:row>54</xdr:row>
                <xdr:rowOff>142875</xdr:rowOff>
              </to>
            </anchor>
          </controlPr>
        </control>
      </mc:Choice>
      <mc:Fallback>
        <control shapeId="1034" r:id="rId29" name="cmdCalculatePredictionAccurracy"/>
      </mc:Fallback>
    </mc:AlternateContent>
    <mc:AlternateContent xmlns:mc="http://schemas.openxmlformats.org/markup-compatibility/2006">
      <mc:Choice Requires="x14">
        <control shapeId="1035" r:id="rId31" name="lblTrueFinalScoreDifferential">
          <controlPr defaultSize="0" autoLine="0" r:id="rId32">
            <anchor moveWithCells="1">
              <from>
                <xdr:col>8</xdr:col>
                <xdr:colOff>371475</xdr:colOff>
                <xdr:row>31</xdr:row>
                <xdr:rowOff>123825</xdr:rowOff>
              </from>
              <to>
                <xdr:col>10</xdr:col>
                <xdr:colOff>66675</xdr:colOff>
                <xdr:row>32</xdr:row>
                <xdr:rowOff>161925</xdr:rowOff>
              </to>
            </anchor>
          </controlPr>
        </control>
      </mc:Choice>
      <mc:Fallback>
        <control shapeId="1035" r:id="rId31" name="lblTrueFinalScoreDifferential"/>
      </mc:Fallback>
    </mc:AlternateContent>
    <mc:AlternateContent xmlns:mc="http://schemas.openxmlformats.org/markup-compatibility/2006">
      <mc:Choice Requires="x14">
        <control shapeId="1036" r:id="rId33" name="cboHomeTeamPrediction">
          <controlPr defaultSize="0" autoLine="0" r:id="rId34">
            <anchor moveWithCells="1">
              <from>
                <xdr:col>1</xdr:col>
                <xdr:colOff>66675</xdr:colOff>
                <xdr:row>42</xdr:row>
                <xdr:rowOff>66675</xdr:rowOff>
              </from>
              <to>
                <xdr:col>4</xdr:col>
                <xdr:colOff>142875</xdr:colOff>
                <xdr:row>43</xdr:row>
                <xdr:rowOff>161925</xdr:rowOff>
              </to>
            </anchor>
          </controlPr>
        </control>
      </mc:Choice>
      <mc:Fallback>
        <control shapeId="1036" r:id="rId33" name="cboHomeTeamPrediction"/>
      </mc:Fallback>
    </mc:AlternateContent>
    <mc:AlternateContent xmlns:mc="http://schemas.openxmlformats.org/markup-compatibility/2006">
      <mc:Choice Requires="x14">
        <control shapeId="1037" r:id="rId35" name="cboAwayTeamPrediction">
          <controlPr defaultSize="0" autoLine="0" r:id="rId36">
            <anchor moveWithCells="1">
              <from>
                <xdr:col>4</xdr:col>
                <xdr:colOff>219075</xdr:colOff>
                <xdr:row>42</xdr:row>
                <xdr:rowOff>76200</xdr:rowOff>
              </from>
              <to>
                <xdr:col>7</xdr:col>
                <xdr:colOff>504825</xdr:colOff>
                <xdr:row>43</xdr:row>
                <xdr:rowOff>180975</xdr:rowOff>
              </to>
            </anchor>
          </controlPr>
        </control>
      </mc:Choice>
      <mc:Fallback>
        <control shapeId="1037" r:id="rId35" name="cboAwayTeamPrediction"/>
      </mc:Fallback>
    </mc:AlternateContent>
    <mc:AlternateContent xmlns:mc="http://schemas.openxmlformats.org/markup-compatibility/2006">
      <mc:Choice Requires="x14">
        <control shapeId="1038" r:id="rId37" name="Label1">
          <controlPr defaultSize="0" autoLine="0" r:id="rId38">
            <anchor moveWithCells="1">
              <from>
                <xdr:col>1</xdr:col>
                <xdr:colOff>142875</xdr:colOff>
                <xdr:row>40</xdr:row>
                <xdr:rowOff>47625</xdr:rowOff>
              </from>
              <to>
                <xdr:col>2</xdr:col>
                <xdr:colOff>447675</xdr:colOff>
                <xdr:row>41</xdr:row>
                <xdr:rowOff>85725</xdr:rowOff>
              </to>
            </anchor>
          </controlPr>
        </control>
      </mc:Choice>
      <mc:Fallback>
        <control shapeId="1038" r:id="rId37" name="Label1"/>
      </mc:Fallback>
    </mc:AlternateContent>
    <mc:AlternateContent xmlns:mc="http://schemas.openxmlformats.org/markup-compatibility/2006">
      <mc:Choice Requires="x14">
        <control shapeId="1039" r:id="rId39" name="Label2">
          <controlPr defaultSize="0" autoLine="0" r:id="rId40">
            <anchor moveWithCells="1">
              <from>
                <xdr:col>4</xdr:col>
                <xdr:colOff>371475</xdr:colOff>
                <xdr:row>40</xdr:row>
                <xdr:rowOff>9525</xdr:rowOff>
              </from>
              <to>
                <xdr:col>6</xdr:col>
                <xdr:colOff>66675</xdr:colOff>
                <xdr:row>41</xdr:row>
                <xdr:rowOff>47625</xdr:rowOff>
              </to>
            </anchor>
          </controlPr>
        </control>
      </mc:Choice>
      <mc:Fallback>
        <control shapeId="1039" r:id="rId39" name="Lab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B21B1-4BAD-4827-9636-95D884065DD2}">
  <sheetPr codeName="Sheet2"/>
  <dimension ref="A1:Q165"/>
  <sheetViews>
    <sheetView tabSelected="1" workbookViewId="0">
      <selection activeCell="E1" sqref="E1:I164"/>
    </sheetView>
  </sheetViews>
  <sheetFormatPr defaultRowHeight="15" x14ac:dyDescent="0.25"/>
  <cols>
    <col min="3" max="3" width="17.28515625" customWidth="1"/>
    <col min="8" max="8" width="72" customWidth="1"/>
    <col min="17" max="17" width="22.7109375" customWidth="1"/>
  </cols>
  <sheetData>
    <row r="1" spans="1:17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  <c r="Q1" s="1"/>
    </row>
    <row r="2" spans="1:17" x14ac:dyDescent="0.25">
      <c r="A2" s="3">
        <v>1</v>
      </c>
      <c r="B2" s="4" t="s">
        <v>8</v>
      </c>
      <c r="C2" s="3">
        <v>5.7235302419787525E+29</v>
      </c>
      <c r="D2" s="3"/>
      <c r="E2" s="3">
        <v>28</v>
      </c>
      <c r="F2" s="3">
        <v>1</v>
      </c>
      <c r="G2">
        <v>34</v>
      </c>
      <c r="H2" s="3">
        <f>VLOOKUP(F2,$A$2:$C$33,3)+$C$35-VLOOKUP(E2,$A$2:$C$33,3)</f>
        <v>1.9572167407400762E+29</v>
      </c>
      <c r="I2" s="3">
        <f>IF(SIGN(G2)=SIGN(H2),1,0)</f>
        <v>1</v>
      </c>
      <c r="J2" s="3" t="s">
        <v>9</v>
      </c>
      <c r="K2" s="5">
        <f>SUMXMY2(H2:H164,G2:G164)</f>
        <v>5.6950569759951405E+60</v>
      </c>
      <c r="Q2" s="3"/>
    </row>
    <row r="3" spans="1:17" x14ac:dyDescent="0.25">
      <c r="A3" s="3">
        <v>2</v>
      </c>
      <c r="B3" s="4" t="s">
        <v>10</v>
      </c>
      <c r="C3" s="3">
        <v>2.4157060142708762E+29</v>
      </c>
      <c r="D3" s="3"/>
      <c r="E3" s="3">
        <v>11</v>
      </c>
      <c r="F3" s="3">
        <v>1</v>
      </c>
      <c r="G3">
        <v>35</v>
      </c>
      <c r="H3" s="3">
        <f t="shared" ref="H3:H66" si="0">VLOOKUP(F3,$A$2:$C$33,3)+$C$35-VLOOKUP(E3,$A$2:$C$33,3)</f>
        <v>4.2778519862909272E+29</v>
      </c>
      <c r="I3" s="3">
        <f>IF(SIGN(G3)=SIGN(H3),1,0)</f>
        <v>1</v>
      </c>
      <c r="J3" s="3"/>
      <c r="K3" s="3"/>
      <c r="Q3" s="3"/>
    </row>
    <row r="4" spans="1:17" x14ac:dyDescent="0.25">
      <c r="A4" s="3">
        <v>3</v>
      </c>
      <c r="B4" s="4" t="s">
        <v>11</v>
      </c>
      <c r="C4" s="3">
        <v>5.0547010571205858E+29</v>
      </c>
      <c r="D4" s="3"/>
      <c r="E4" s="3">
        <v>25</v>
      </c>
      <c r="F4" s="3">
        <v>1</v>
      </c>
      <c r="G4">
        <v>10</v>
      </c>
      <c r="H4" s="3">
        <f t="shared" si="0"/>
        <v>2.5392970148463595E+29</v>
      </c>
      <c r="I4" s="3">
        <f>IF(SIGN(G4)=SIGN(H4),1,0)</f>
        <v>1</v>
      </c>
      <c r="J4" s="3"/>
      <c r="K4" s="3"/>
      <c r="Q4" s="3"/>
    </row>
    <row r="5" spans="1:17" x14ac:dyDescent="0.25">
      <c r="A5" s="3">
        <v>4</v>
      </c>
      <c r="B5" s="4" t="s">
        <v>12</v>
      </c>
      <c r="C5" s="3">
        <v>3.5735029655079863E+29</v>
      </c>
      <c r="D5" s="3"/>
      <c r="E5" s="3">
        <v>26</v>
      </c>
      <c r="F5" s="3">
        <v>1</v>
      </c>
      <c r="G5">
        <v>-3</v>
      </c>
      <c r="H5" s="3">
        <f t="shared" si="0"/>
        <v>8.9499271673150225E+28</v>
      </c>
      <c r="I5" s="3">
        <f t="shared" ref="I5:I68" si="1">IF(SIGN(G5)=SIGN(H5),1,0)</f>
        <v>0</v>
      </c>
      <c r="J5" s="3"/>
      <c r="K5" s="3"/>
      <c r="Q5" s="3"/>
    </row>
    <row r="6" spans="1:17" x14ac:dyDescent="0.25">
      <c r="A6" s="3">
        <v>5</v>
      </c>
      <c r="B6" s="4" t="s">
        <v>13</v>
      </c>
      <c r="C6" s="3">
        <v>3.0200429100509417E+29</v>
      </c>
      <c r="D6" s="3"/>
      <c r="E6" s="3">
        <v>9</v>
      </c>
      <c r="F6" s="3">
        <v>1</v>
      </c>
      <c r="G6">
        <v>9</v>
      </c>
      <c r="H6" s="3">
        <f t="shared" si="0"/>
        <v>4.0366731348910879E+29</v>
      </c>
      <c r="I6" s="3">
        <f t="shared" si="1"/>
        <v>1</v>
      </c>
      <c r="J6" s="3"/>
      <c r="K6" s="3"/>
      <c r="Q6" s="3"/>
    </row>
    <row r="7" spans="1:17" x14ac:dyDescent="0.25">
      <c r="A7" s="3">
        <v>6</v>
      </c>
      <c r="B7" s="4" t="s">
        <v>14</v>
      </c>
      <c r="C7" s="3">
        <v>3.3545089337367127E+29</v>
      </c>
      <c r="D7" s="3"/>
      <c r="E7" s="3">
        <v>1</v>
      </c>
      <c r="F7" s="3">
        <v>2</v>
      </c>
      <c r="G7">
        <v>-21</v>
      </c>
      <c r="H7" s="3">
        <f t="shared" si="0"/>
        <v>-3.3078242277078763E+29</v>
      </c>
      <c r="I7" s="3">
        <f t="shared" si="1"/>
        <v>1</v>
      </c>
      <c r="J7" s="3"/>
      <c r="K7" s="3"/>
      <c r="Q7" s="3"/>
    </row>
    <row r="8" spans="1:17" x14ac:dyDescent="0.25">
      <c r="A8" s="3">
        <v>7</v>
      </c>
      <c r="B8" s="4" t="s">
        <v>15</v>
      </c>
      <c r="C8" s="3">
        <v>2.8558590879973049E+29</v>
      </c>
      <c r="D8" s="3"/>
      <c r="E8" s="3">
        <v>6</v>
      </c>
      <c r="F8" s="3">
        <v>2</v>
      </c>
      <c r="G8">
        <v>4</v>
      </c>
      <c r="H8" s="3">
        <f t="shared" si="0"/>
        <v>-9.3880291946583653E+28</v>
      </c>
      <c r="I8" s="3">
        <f t="shared" si="1"/>
        <v>0</v>
      </c>
      <c r="J8" s="3"/>
      <c r="K8" s="3"/>
      <c r="Q8" s="3"/>
    </row>
    <row r="9" spans="1:17" x14ac:dyDescent="0.25">
      <c r="A9" s="3">
        <v>8</v>
      </c>
      <c r="B9" s="4" t="s">
        <v>16</v>
      </c>
      <c r="C9" s="3">
        <v>3.4023445486345516E+29</v>
      </c>
      <c r="D9" s="3"/>
      <c r="E9" s="3">
        <v>30</v>
      </c>
      <c r="F9" s="3">
        <v>2</v>
      </c>
      <c r="G9">
        <v>-12</v>
      </c>
      <c r="H9" s="3">
        <f t="shared" si="0"/>
        <v>-2.8777578034509385E+29</v>
      </c>
      <c r="I9" s="3">
        <f t="shared" si="1"/>
        <v>1</v>
      </c>
      <c r="J9" s="3"/>
      <c r="K9" s="3"/>
      <c r="Q9" s="3"/>
    </row>
    <row r="10" spans="1:17" x14ac:dyDescent="0.25">
      <c r="A10" s="3">
        <v>9</v>
      </c>
      <c r="B10" s="4" t="s">
        <v>17</v>
      </c>
      <c r="C10" s="3">
        <v>1.6868571070876646E+29</v>
      </c>
      <c r="D10" s="3"/>
      <c r="E10" s="3">
        <v>10</v>
      </c>
      <c r="F10" s="3">
        <v>2</v>
      </c>
      <c r="G10">
        <v>14</v>
      </c>
      <c r="H10" s="3">
        <f t="shared" si="0"/>
        <v>8.2549885961890725E+28</v>
      </c>
      <c r="I10" s="3">
        <f t="shared" si="1"/>
        <v>1</v>
      </c>
      <c r="J10" s="3"/>
      <c r="K10" s="3"/>
      <c r="Q10" s="3"/>
    </row>
    <row r="11" spans="1:17" x14ac:dyDescent="0.25">
      <c r="A11" s="3">
        <v>10</v>
      </c>
      <c r="B11" s="4" t="s">
        <v>18</v>
      </c>
      <c r="C11" s="3">
        <v>1.590207154651969E+29</v>
      </c>
      <c r="D11" s="3"/>
      <c r="E11" s="3">
        <v>13</v>
      </c>
      <c r="F11" s="3">
        <v>2</v>
      </c>
      <c r="G11">
        <v>-17</v>
      </c>
      <c r="H11" s="3">
        <f t="shared" si="0"/>
        <v>-3.2407009242508864E+28</v>
      </c>
      <c r="I11" s="3">
        <f t="shared" si="1"/>
        <v>1</v>
      </c>
      <c r="J11" s="3"/>
      <c r="K11" s="3"/>
      <c r="Q11" s="3"/>
    </row>
    <row r="12" spans="1:17" x14ac:dyDescent="0.25">
      <c r="A12" s="3">
        <v>11</v>
      </c>
      <c r="B12" s="4" t="s">
        <v>19</v>
      </c>
      <c r="C12" s="3">
        <v>1.4456782556878253E+29</v>
      </c>
      <c r="D12" s="3"/>
      <c r="E12" s="3">
        <v>22</v>
      </c>
      <c r="F12" s="3">
        <v>2</v>
      </c>
      <c r="G12">
        <v>-10</v>
      </c>
      <c r="H12" s="3">
        <f t="shared" si="0"/>
        <v>-1.0699923965801601E+29</v>
      </c>
      <c r="I12" s="3">
        <f t="shared" si="1"/>
        <v>1</v>
      </c>
      <c r="J12" s="3"/>
      <c r="K12" s="3"/>
      <c r="Q12" s="3"/>
    </row>
    <row r="13" spans="1:17" x14ac:dyDescent="0.25">
      <c r="A13" s="3">
        <v>12</v>
      </c>
      <c r="B13" s="4" t="s">
        <v>20</v>
      </c>
      <c r="C13" s="3">
        <v>3.7558513482201077E+29</v>
      </c>
      <c r="D13" s="3"/>
      <c r="E13" s="3">
        <v>8</v>
      </c>
      <c r="F13" s="3">
        <v>3</v>
      </c>
      <c r="G13">
        <v>-4</v>
      </c>
      <c r="H13" s="3">
        <f t="shared" si="0"/>
        <v>1.6523565084860343E+29</v>
      </c>
      <c r="I13" s="3">
        <f t="shared" si="1"/>
        <v>0</v>
      </c>
      <c r="J13" s="3"/>
      <c r="K13" s="3"/>
      <c r="Q13" s="3"/>
    </row>
    <row r="14" spans="1:17" x14ac:dyDescent="0.25">
      <c r="A14" s="3">
        <v>13</v>
      </c>
      <c r="B14" s="4" t="s">
        <v>21</v>
      </c>
      <c r="C14" s="3">
        <v>2.7397761066959648E+29</v>
      </c>
      <c r="D14" s="3"/>
      <c r="E14" s="3">
        <v>1</v>
      </c>
      <c r="F14" s="3">
        <v>3</v>
      </c>
      <c r="G14">
        <v>-3</v>
      </c>
      <c r="H14" s="3">
        <f t="shared" si="0"/>
        <v>-6.6882918485816664E+28</v>
      </c>
      <c r="I14" s="3">
        <f t="shared" si="1"/>
        <v>1</v>
      </c>
      <c r="J14" s="3"/>
      <c r="K14" s="3"/>
      <c r="Q14" s="3"/>
    </row>
    <row r="15" spans="1:17" x14ac:dyDescent="0.25">
      <c r="A15" s="3">
        <v>14</v>
      </c>
      <c r="B15" s="4" t="s">
        <v>22</v>
      </c>
      <c r="C15" s="3">
        <v>2.9408763695916366E+29</v>
      </c>
      <c r="D15" s="3"/>
      <c r="E15" s="3">
        <v>12</v>
      </c>
      <c r="F15" s="3">
        <v>3</v>
      </c>
      <c r="G15">
        <v>2</v>
      </c>
      <c r="H15" s="3">
        <f t="shared" si="0"/>
        <v>1.2988497089004782E+29</v>
      </c>
      <c r="I15" s="3">
        <f t="shared" si="1"/>
        <v>1</v>
      </c>
      <c r="J15" s="3"/>
      <c r="K15" s="3"/>
      <c r="Q15" s="3"/>
    </row>
    <row r="16" spans="1:17" x14ac:dyDescent="0.25">
      <c r="A16" s="3">
        <v>15</v>
      </c>
      <c r="B16" s="4" t="s">
        <v>23</v>
      </c>
      <c r="C16" s="3">
        <v>5.5040433444722542E+29</v>
      </c>
      <c r="D16" s="3"/>
      <c r="E16" s="3">
        <v>9</v>
      </c>
      <c r="F16" s="3">
        <v>3</v>
      </c>
      <c r="G16">
        <v>3</v>
      </c>
      <c r="H16" s="3">
        <f t="shared" si="0"/>
        <v>3.3678439500329212E+29</v>
      </c>
      <c r="I16" s="3">
        <f t="shared" si="1"/>
        <v>1</v>
      </c>
      <c r="J16" s="3"/>
      <c r="K16" s="3"/>
      <c r="Q16" s="3"/>
    </row>
    <row r="17" spans="1:17" x14ac:dyDescent="0.25">
      <c r="A17" s="3">
        <v>16</v>
      </c>
      <c r="B17" s="4" t="s">
        <v>24</v>
      </c>
      <c r="C17" s="3">
        <v>3.3675684969596066E+29</v>
      </c>
      <c r="D17" s="3"/>
      <c r="E17" s="3">
        <v>10</v>
      </c>
      <c r="F17" s="3">
        <v>3</v>
      </c>
      <c r="G17">
        <v>10</v>
      </c>
      <c r="H17" s="3">
        <f t="shared" si="0"/>
        <v>3.4644939024686172E+29</v>
      </c>
      <c r="I17" s="3">
        <f t="shared" si="1"/>
        <v>1</v>
      </c>
      <c r="J17" s="3"/>
      <c r="K17" s="3"/>
      <c r="Q17" s="3"/>
    </row>
    <row r="18" spans="1:17" x14ac:dyDescent="0.25">
      <c r="A18" s="3">
        <v>17</v>
      </c>
      <c r="B18" s="4" t="s">
        <v>25</v>
      </c>
      <c r="C18" s="3">
        <v>2.6578282614859706E+29</v>
      </c>
      <c r="D18" s="3"/>
      <c r="E18" s="3">
        <v>3</v>
      </c>
      <c r="F18" s="3">
        <v>4</v>
      </c>
      <c r="G18">
        <v>-15</v>
      </c>
      <c r="H18" s="3">
        <f t="shared" si="0"/>
        <v>-1.4811980916125996E+29</v>
      </c>
      <c r="I18" s="3">
        <f t="shared" si="1"/>
        <v>1</v>
      </c>
      <c r="J18" s="3"/>
      <c r="K18" s="3"/>
      <c r="Q18" s="3"/>
    </row>
    <row r="19" spans="1:17" x14ac:dyDescent="0.25">
      <c r="A19" s="3">
        <v>18</v>
      </c>
      <c r="B19" s="4" t="s">
        <v>26</v>
      </c>
      <c r="C19" s="3">
        <v>2.4535523507746127E+29</v>
      </c>
      <c r="D19" s="3"/>
      <c r="E19" s="3">
        <v>12</v>
      </c>
      <c r="F19" s="3">
        <v>4</v>
      </c>
      <c r="G19">
        <v>-15</v>
      </c>
      <c r="H19" s="3">
        <f t="shared" si="0"/>
        <v>-1.823483827121214E+28</v>
      </c>
      <c r="I19" s="3">
        <f t="shared" si="1"/>
        <v>1</v>
      </c>
      <c r="J19" s="3"/>
      <c r="K19" s="3"/>
      <c r="Q19" s="3"/>
    </row>
    <row r="20" spans="1:17" x14ac:dyDescent="0.25">
      <c r="A20" s="3">
        <v>19</v>
      </c>
      <c r="B20" s="4" t="s">
        <v>27</v>
      </c>
      <c r="C20" s="3">
        <v>2.2888117262705378E+29</v>
      </c>
      <c r="D20" s="3"/>
      <c r="E20" s="3">
        <v>8</v>
      </c>
      <c r="F20" s="3">
        <v>4</v>
      </c>
      <c r="G20">
        <v>23</v>
      </c>
      <c r="H20" s="3">
        <f t="shared" si="0"/>
        <v>1.7115841687343472E+28</v>
      </c>
      <c r="I20" s="3">
        <f t="shared" si="1"/>
        <v>1</v>
      </c>
      <c r="J20" s="3"/>
      <c r="K20" s="3"/>
      <c r="Q20" s="3"/>
    </row>
    <row r="21" spans="1:17" x14ac:dyDescent="0.25">
      <c r="A21" s="3">
        <v>20</v>
      </c>
      <c r="B21" s="4" t="s">
        <v>28</v>
      </c>
      <c r="C21" s="3">
        <v>3.244860812899064E+29</v>
      </c>
      <c r="D21" s="3"/>
      <c r="E21" s="3">
        <v>7</v>
      </c>
      <c r="F21" s="3">
        <v>4</v>
      </c>
      <c r="G21">
        <v>39</v>
      </c>
      <c r="H21" s="3">
        <f t="shared" si="0"/>
        <v>7.1764387751068133E+28</v>
      </c>
      <c r="I21" s="3">
        <f t="shared" si="1"/>
        <v>1</v>
      </c>
      <c r="J21" s="3"/>
      <c r="K21" s="3"/>
      <c r="Q21" s="3"/>
    </row>
    <row r="22" spans="1:17" x14ac:dyDescent="0.25">
      <c r="A22" s="3">
        <v>21</v>
      </c>
      <c r="B22" s="4" t="s">
        <v>29</v>
      </c>
      <c r="C22" s="3">
        <v>4.8276841597813858E+29</v>
      </c>
      <c r="D22" s="3"/>
      <c r="E22" s="3">
        <v>1</v>
      </c>
      <c r="F22" s="3">
        <v>4</v>
      </c>
      <c r="G22">
        <v>3</v>
      </c>
      <c r="H22" s="3">
        <f t="shared" si="0"/>
        <v>-2.1500272764707662E+29</v>
      </c>
      <c r="I22" s="3">
        <f t="shared" si="1"/>
        <v>0</v>
      </c>
      <c r="J22" s="3"/>
      <c r="K22" s="3"/>
      <c r="Q22" s="3"/>
    </row>
    <row r="23" spans="1:17" x14ac:dyDescent="0.25">
      <c r="A23" s="3">
        <v>22</v>
      </c>
      <c r="B23" s="4" t="s">
        <v>30</v>
      </c>
      <c r="C23" s="3">
        <v>3.4856984108510363E+29</v>
      </c>
      <c r="D23" s="3"/>
      <c r="E23" s="3">
        <v>29</v>
      </c>
      <c r="F23" s="3">
        <v>5</v>
      </c>
      <c r="G23">
        <v>-10</v>
      </c>
      <c r="H23" s="3">
        <f t="shared" si="0"/>
        <v>-1.2979608185868155E+28</v>
      </c>
      <c r="I23" s="3">
        <f t="shared" si="1"/>
        <v>1</v>
      </c>
      <c r="J23" s="3"/>
      <c r="K23" s="3"/>
      <c r="Q23" s="3"/>
    </row>
    <row r="24" spans="1:17" x14ac:dyDescent="0.25">
      <c r="A24" s="3">
        <v>23</v>
      </c>
      <c r="B24" s="4" t="s">
        <v>31</v>
      </c>
      <c r="C24" s="3">
        <v>1.9765719545356386E+29</v>
      </c>
      <c r="D24" s="3"/>
      <c r="E24" s="3">
        <v>26</v>
      </c>
      <c r="F24" s="3">
        <v>5</v>
      </c>
      <c r="G24">
        <v>-3</v>
      </c>
      <c r="H24" s="3">
        <f t="shared" si="0"/>
        <v>-1.8084946151963086E+29</v>
      </c>
      <c r="I24" s="3">
        <f t="shared" si="1"/>
        <v>1</v>
      </c>
      <c r="J24" s="3"/>
      <c r="K24" s="3"/>
      <c r="Q24" s="3"/>
    </row>
    <row r="25" spans="1:17" x14ac:dyDescent="0.25">
      <c r="A25" s="3">
        <v>24</v>
      </c>
      <c r="B25" s="4" t="s">
        <v>32</v>
      </c>
      <c r="C25" s="3">
        <v>1.9911820563568459E+29</v>
      </c>
      <c r="D25" s="3"/>
      <c r="E25" s="3">
        <v>32</v>
      </c>
      <c r="F25" s="3">
        <v>5</v>
      </c>
      <c r="G25">
        <v>7</v>
      </c>
      <c r="H25" s="3">
        <f t="shared" si="0"/>
        <v>3.0200429100509417E+29</v>
      </c>
      <c r="I25" s="3">
        <f t="shared" si="1"/>
        <v>1</v>
      </c>
      <c r="J25" s="3"/>
      <c r="K25" s="3"/>
      <c r="Q25" s="3"/>
    </row>
    <row r="26" spans="1:17" x14ac:dyDescent="0.25">
      <c r="A26" s="3">
        <v>25</v>
      </c>
      <c r="B26" s="4" t="s">
        <v>33</v>
      </c>
      <c r="C26" s="3">
        <v>3.184233227132393E+29</v>
      </c>
      <c r="D26" s="3"/>
      <c r="E26" s="3">
        <v>12</v>
      </c>
      <c r="F26" s="3">
        <v>5</v>
      </c>
      <c r="G26">
        <v>-4</v>
      </c>
      <c r="H26" s="3">
        <f t="shared" si="0"/>
        <v>-7.3580843816916602E+28</v>
      </c>
      <c r="I26" s="3">
        <f t="shared" si="1"/>
        <v>1</v>
      </c>
      <c r="J26" s="3"/>
      <c r="K26" s="3"/>
      <c r="Q26" s="3"/>
    </row>
    <row r="27" spans="1:17" x14ac:dyDescent="0.25">
      <c r="A27" s="3">
        <v>26</v>
      </c>
      <c r="B27" s="4" t="s">
        <v>34</v>
      </c>
      <c r="C27" s="3">
        <v>4.8285375252472502E+29</v>
      </c>
      <c r="D27" s="3"/>
      <c r="E27" s="3">
        <v>23</v>
      </c>
      <c r="F27" s="3">
        <v>5</v>
      </c>
      <c r="G27">
        <v>24</v>
      </c>
      <c r="H27" s="3">
        <f t="shared" si="0"/>
        <v>1.0434709555153031E+29</v>
      </c>
      <c r="I27" s="3">
        <f t="shared" si="1"/>
        <v>1</v>
      </c>
      <c r="J27" s="3"/>
      <c r="K27" s="3"/>
      <c r="Q27" s="3"/>
    </row>
    <row r="28" spans="1:17" x14ac:dyDescent="0.25">
      <c r="A28" s="3">
        <v>27</v>
      </c>
      <c r="B28" s="4" t="s">
        <v>35</v>
      </c>
      <c r="C28" s="3">
        <v>5.1433946819660597E+29</v>
      </c>
      <c r="D28" s="3"/>
      <c r="E28" s="3">
        <v>3</v>
      </c>
      <c r="F28" s="3">
        <v>5</v>
      </c>
      <c r="G28">
        <v>-14</v>
      </c>
      <c r="H28" s="3">
        <f t="shared" si="0"/>
        <v>-2.0346581470696442E+29</v>
      </c>
      <c r="I28" s="3">
        <f t="shared" si="1"/>
        <v>1</v>
      </c>
      <c r="J28" s="3"/>
      <c r="K28" s="3"/>
      <c r="Q28" s="3"/>
    </row>
    <row r="29" spans="1:17" x14ac:dyDescent="0.25">
      <c r="A29" s="3">
        <v>28</v>
      </c>
      <c r="B29" s="4" t="s">
        <v>36</v>
      </c>
      <c r="C29" s="3">
        <v>3.7663135012386762E+29</v>
      </c>
      <c r="D29" s="3"/>
      <c r="E29" s="3">
        <v>2</v>
      </c>
      <c r="F29" s="3">
        <v>5</v>
      </c>
      <c r="G29">
        <v>7</v>
      </c>
      <c r="H29" s="3">
        <f t="shared" si="0"/>
        <v>6.0433689578006545E+28</v>
      </c>
      <c r="I29" s="3">
        <f t="shared" si="1"/>
        <v>1</v>
      </c>
      <c r="J29" s="3"/>
      <c r="K29" s="3"/>
      <c r="Q29" s="3"/>
    </row>
    <row r="30" spans="1:17" x14ac:dyDescent="0.25">
      <c r="A30" s="3">
        <v>29</v>
      </c>
      <c r="B30" s="4" t="s">
        <v>37</v>
      </c>
      <c r="C30" s="3">
        <v>3.1498389919096232E+29</v>
      </c>
      <c r="D30" s="3"/>
      <c r="E30" s="3">
        <v>5</v>
      </c>
      <c r="F30" s="3">
        <v>6</v>
      </c>
      <c r="G30">
        <v>-1</v>
      </c>
      <c r="H30" s="3">
        <f t="shared" si="0"/>
        <v>3.3446602368577108E+28</v>
      </c>
      <c r="I30" s="3">
        <f t="shared" si="1"/>
        <v>0</v>
      </c>
      <c r="J30" s="3"/>
      <c r="K30" s="3"/>
      <c r="Q30" s="3"/>
    </row>
    <row r="31" spans="1:17" x14ac:dyDescent="0.25">
      <c r="A31" s="3">
        <v>30</v>
      </c>
      <c r="B31" s="4" t="s">
        <v>38</v>
      </c>
      <c r="C31" s="3">
        <v>5.2934638177218147E+29</v>
      </c>
      <c r="D31" s="3"/>
      <c r="E31" s="3">
        <v>9</v>
      </c>
      <c r="F31" s="3">
        <v>6</v>
      </c>
      <c r="G31">
        <v>3</v>
      </c>
      <c r="H31" s="3">
        <f t="shared" si="0"/>
        <v>1.6676518266490481E+29</v>
      </c>
      <c r="I31" s="3">
        <f t="shared" si="1"/>
        <v>1</v>
      </c>
      <c r="J31" s="3"/>
      <c r="K31" s="3"/>
      <c r="Q31" s="3"/>
    </row>
    <row r="32" spans="1:17" x14ac:dyDescent="0.25">
      <c r="A32" s="3">
        <v>31</v>
      </c>
      <c r="B32" s="4" t="s">
        <v>39</v>
      </c>
      <c r="C32" s="3">
        <v>0</v>
      </c>
      <c r="D32" s="3"/>
      <c r="E32" s="3">
        <v>13</v>
      </c>
      <c r="F32" s="3">
        <v>6</v>
      </c>
      <c r="G32">
        <v>14</v>
      </c>
      <c r="H32" s="3">
        <f t="shared" si="0"/>
        <v>6.1473282704074789E+28</v>
      </c>
      <c r="I32" s="3">
        <f t="shared" si="1"/>
        <v>1</v>
      </c>
      <c r="J32" s="3"/>
      <c r="K32" s="3"/>
      <c r="Q32" s="3"/>
    </row>
    <row r="33" spans="1:17" x14ac:dyDescent="0.25">
      <c r="A33" s="3">
        <v>32</v>
      </c>
      <c r="B33" s="4" t="s">
        <v>40</v>
      </c>
      <c r="C33" s="3">
        <v>49.754707532351404</v>
      </c>
      <c r="D33" s="3"/>
      <c r="E33" s="3">
        <v>10</v>
      </c>
      <c r="F33" s="3">
        <v>6</v>
      </c>
      <c r="G33">
        <v>3</v>
      </c>
      <c r="H33" s="3">
        <f t="shared" si="0"/>
        <v>1.7643017790847438E+29</v>
      </c>
      <c r="I33" s="3">
        <f t="shared" si="1"/>
        <v>1</v>
      </c>
      <c r="J33" s="3"/>
      <c r="K33" s="3"/>
      <c r="Q33" s="3"/>
    </row>
    <row r="34" spans="1:17" x14ac:dyDescent="0.25">
      <c r="C34" s="3" t="s">
        <v>41</v>
      </c>
      <c r="D34" s="3"/>
      <c r="E34" s="3">
        <v>24</v>
      </c>
      <c r="F34" s="3">
        <v>6</v>
      </c>
      <c r="G34">
        <v>7</v>
      </c>
      <c r="H34" s="3">
        <f t="shared" si="0"/>
        <v>1.3633268773798669E+29</v>
      </c>
      <c r="I34" s="3">
        <f t="shared" si="1"/>
        <v>1</v>
      </c>
      <c r="J34" s="3"/>
      <c r="K34" s="3"/>
      <c r="Q34" s="3"/>
    </row>
    <row r="35" spans="1:17" x14ac:dyDescent="0.25">
      <c r="B35" s="4" t="s">
        <v>42</v>
      </c>
      <c r="C35" s="3">
        <v>8.6561017636687385</v>
      </c>
      <c r="D35" s="3"/>
      <c r="E35" s="3">
        <v>14</v>
      </c>
      <c r="F35" s="3">
        <v>6</v>
      </c>
      <c r="G35">
        <v>3</v>
      </c>
      <c r="H35" s="3">
        <f t="shared" si="0"/>
        <v>4.136325641450761E+28</v>
      </c>
      <c r="I35" s="3">
        <f t="shared" si="1"/>
        <v>1</v>
      </c>
      <c r="Q35" s="3"/>
    </row>
    <row r="36" spans="1:17" x14ac:dyDescent="0.25">
      <c r="E36" s="3">
        <v>3</v>
      </c>
      <c r="F36" s="3">
        <v>7</v>
      </c>
      <c r="G36">
        <v>-11</v>
      </c>
      <c r="H36" s="3">
        <f t="shared" si="0"/>
        <v>-2.1988419691232809E+29</v>
      </c>
      <c r="I36" s="3">
        <f t="shared" si="1"/>
        <v>1</v>
      </c>
      <c r="Q36" s="3"/>
    </row>
    <row r="37" spans="1:17" x14ac:dyDescent="0.25">
      <c r="E37" s="3">
        <v>16</v>
      </c>
      <c r="F37" s="3">
        <v>7</v>
      </c>
      <c r="G37">
        <v>29</v>
      </c>
      <c r="H37" s="3">
        <f t="shared" si="0"/>
        <v>-5.1170940896230166E+28</v>
      </c>
      <c r="I37" s="3">
        <f t="shared" si="1"/>
        <v>0</v>
      </c>
      <c r="Q37" s="3"/>
    </row>
    <row r="38" spans="1:17" x14ac:dyDescent="0.25">
      <c r="E38" s="3">
        <v>14</v>
      </c>
      <c r="F38" s="3">
        <v>7</v>
      </c>
      <c r="G38">
        <v>-19</v>
      </c>
      <c r="H38" s="3">
        <f t="shared" si="0"/>
        <v>-8.5017281594331689E+27</v>
      </c>
      <c r="I38" s="3">
        <f t="shared" si="1"/>
        <v>1</v>
      </c>
      <c r="Q38" s="3"/>
    </row>
    <row r="39" spans="1:17" x14ac:dyDescent="0.25">
      <c r="E39" s="3">
        <v>17</v>
      </c>
      <c r="F39" s="3">
        <v>7</v>
      </c>
      <c r="G39">
        <v>23</v>
      </c>
      <c r="H39" s="3">
        <f t="shared" si="0"/>
        <v>1.980308265113343E+28</v>
      </c>
      <c r="I39" s="3">
        <f t="shared" si="1"/>
        <v>1</v>
      </c>
      <c r="Q39" s="3"/>
    </row>
    <row r="40" spans="1:17" x14ac:dyDescent="0.25">
      <c r="E40" s="3">
        <v>4</v>
      </c>
      <c r="F40" s="3">
        <v>7</v>
      </c>
      <c r="G40">
        <v>7</v>
      </c>
      <c r="H40" s="3">
        <f t="shared" si="0"/>
        <v>-7.1764387751068133E+28</v>
      </c>
      <c r="I40" s="3">
        <f t="shared" si="1"/>
        <v>0</v>
      </c>
      <c r="Q40" s="3"/>
    </row>
    <row r="41" spans="1:17" x14ac:dyDescent="0.25">
      <c r="E41" s="3">
        <v>7</v>
      </c>
      <c r="F41" s="3">
        <v>8</v>
      </c>
      <c r="G41">
        <v>13</v>
      </c>
      <c r="H41" s="3">
        <f t="shared" si="0"/>
        <v>5.4648546063724661E+28</v>
      </c>
      <c r="I41" s="3">
        <f t="shared" si="1"/>
        <v>1</v>
      </c>
      <c r="Q41" s="3"/>
    </row>
    <row r="42" spans="1:17" x14ac:dyDescent="0.25">
      <c r="E42" s="3">
        <v>1</v>
      </c>
      <c r="F42" s="3">
        <v>8</v>
      </c>
      <c r="G42">
        <v>2</v>
      </c>
      <c r="H42" s="3">
        <f t="shared" si="0"/>
        <v>-2.3211856933442009E+29</v>
      </c>
      <c r="I42" s="3">
        <f t="shared" si="1"/>
        <v>0</v>
      </c>
      <c r="Q42" s="3"/>
    </row>
    <row r="43" spans="1:17" x14ac:dyDescent="0.25">
      <c r="E43" s="3">
        <v>26</v>
      </c>
      <c r="F43" s="3">
        <v>8</v>
      </c>
      <c r="G43">
        <v>-8</v>
      </c>
      <c r="H43" s="3">
        <f t="shared" si="0"/>
        <v>-1.4261929766126987E+29</v>
      </c>
      <c r="I43" s="3">
        <f t="shared" si="1"/>
        <v>1</v>
      </c>
      <c r="Q43" s="3"/>
    </row>
    <row r="44" spans="1:17" x14ac:dyDescent="0.25">
      <c r="E44" s="3">
        <v>11</v>
      </c>
      <c r="F44" s="3">
        <v>8</v>
      </c>
      <c r="G44">
        <v>6</v>
      </c>
      <c r="H44" s="3">
        <f t="shared" si="0"/>
        <v>1.9566662929467263E+29</v>
      </c>
      <c r="I44" s="3">
        <f t="shared" si="1"/>
        <v>1</v>
      </c>
      <c r="Q44" s="3"/>
    </row>
    <row r="45" spans="1:17" x14ac:dyDescent="0.25">
      <c r="E45" s="3">
        <v>9</v>
      </c>
      <c r="F45" s="3">
        <v>8</v>
      </c>
      <c r="G45">
        <v>2</v>
      </c>
      <c r="H45" s="3">
        <f t="shared" si="0"/>
        <v>1.7154874415468869E+29</v>
      </c>
      <c r="I45" s="3">
        <f t="shared" si="1"/>
        <v>1</v>
      </c>
      <c r="Q45" s="3"/>
    </row>
    <row r="46" spans="1:17" x14ac:dyDescent="0.25">
      <c r="E46" s="3">
        <v>4</v>
      </c>
      <c r="F46" s="3">
        <v>9</v>
      </c>
      <c r="G46">
        <v>-4</v>
      </c>
      <c r="H46" s="3">
        <f t="shared" si="0"/>
        <v>-1.8866458584203217E+29</v>
      </c>
      <c r="I46" s="3">
        <f t="shared" si="1"/>
        <v>1</v>
      </c>
      <c r="Q46" s="3"/>
    </row>
    <row r="47" spans="1:17" x14ac:dyDescent="0.25">
      <c r="E47" s="3">
        <v>11</v>
      </c>
      <c r="F47" s="3">
        <v>9</v>
      </c>
      <c r="G47">
        <v>12</v>
      </c>
      <c r="H47" s="3">
        <f t="shared" si="0"/>
        <v>2.4117885139983932E+28</v>
      </c>
      <c r="I47" s="3">
        <f t="shared" si="1"/>
        <v>1</v>
      </c>
      <c r="Q47" s="3"/>
    </row>
    <row r="48" spans="1:17" x14ac:dyDescent="0.25">
      <c r="E48" s="3">
        <v>24</v>
      </c>
      <c r="F48" s="3">
        <v>9</v>
      </c>
      <c r="G48">
        <v>-2</v>
      </c>
      <c r="H48" s="3">
        <f t="shared" si="0"/>
        <v>-3.0432494926918125E+28</v>
      </c>
      <c r="I48" s="3">
        <f t="shared" si="1"/>
        <v>1</v>
      </c>
      <c r="Q48" s="3"/>
    </row>
    <row r="49" spans="5:17" x14ac:dyDescent="0.25">
      <c r="E49" s="3">
        <v>7</v>
      </c>
      <c r="F49" s="3">
        <v>9</v>
      </c>
      <c r="G49">
        <v>-23</v>
      </c>
      <c r="H49" s="3">
        <f t="shared" si="0"/>
        <v>-1.1690019809096403E+29</v>
      </c>
      <c r="I49" s="3">
        <f t="shared" si="1"/>
        <v>1</v>
      </c>
      <c r="Q49" s="3"/>
    </row>
    <row r="50" spans="5:17" x14ac:dyDescent="0.25">
      <c r="E50" s="3">
        <v>12</v>
      </c>
      <c r="F50" s="3">
        <v>9</v>
      </c>
      <c r="G50">
        <v>19</v>
      </c>
      <c r="H50" s="3">
        <f t="shared" si="0"/>
        <v>-2.0689942411324431E+29</v>
      </c>
      <c r="I50" s="3">
        <f t="shared" si="1"/>
        <v>0</v>
      </c>
      <c r="Q50" s="3"/>
    </row>
    <row r="51" spans="5:17" x14ac:dyDescent="0.25">
      <c r="E51" s="3">
        <v>9</v>
      </c>
      <c r="F51" s="3">
        <v>10</v>
      </c>
      <c r="G51">
        <v>-2</v>
      </c>
      <c r="H51" s="3">
        <f t="shared" si="0"/>
        <v>-9.6649952435695656E+27</v>
      </c>
      <c r="I51" s="3">
        <f t="shared" si="1"/>
        <v>1</v>
      </c>
      <c r="Q51" s="3"/>
    </row>
    <row r="52" spans="5:17" x14ac:dyDescent="0.25">
      <c r="E52" s="3">
        <v>5</v>
      </c>
      <c r="F52" s="3">
        <v>10</v>
      </c>
      <c r="G52">
        <v>8</v>
      </c>
      <c r="H52" s="3">
        <f t="shared" si="0"/>
        <v>-1.4298357553989727E+29</v>
      </c>
      <c r="I52" s="3">
        <f t="shared" si="1"/>
        <v>0</v>
      </c>
      <c r="Q52" s="3"/>
    </row>
    <row r="53" spans="5:17" x14ac:dyDescent="0.25">
      <c r="E53" s="3">
        <v>22</v>
      </c>
      <c r="F53" s="3">
        <v>10</v>
      </c>
      <c r="G53">
        <v>-10</v>
      </c>
      <c r="H53" s="3">
        <f t="shared" si="0"/>
        <v>-1.8954912561990673E+29</v>
      </c>
      <c r="I53" s="3">
        <f t="shared" si="1"/>
        <v>1</v>
      </c>
      <c r="Q53" s="3"/>
    </row>
    <row r="54" spans="5:17" x14ac:dyDescent="0.25">
      <c r="E54" s="3">
        <v>13</v>
      </c>
      <c r="F54" s="3">
        <v>10</v>
      </c>
      <c r="G54">
        <v>-22</v>
      </c>
      <c r="H54" s="3">
        <f t="shared" si="0"/>
        <v>-1.1495689520439959E+29</v>
      </c>
      <c r="I54" s="3">
        <f t="shared" si="1"/>
        <v>1</v>
      </c>
      <c r="Q54" s="3"/>
    </row>
    <row r="55" spans="5:17" x14ac:dyDescent="0.25">
      <c r="E55" s="3">
        <v>29</v>
      </c>
      <c r="F55" s="3">
        <v>10</v>
      </c>
      <c r="G55">
        <v>18</v>
      </c>
      <c r="H55" s="3">
        <f t="shared" si="0"/>
        <v>-1.5596318372576543E+29</v>
      </c>
      <c r="I55" s="3">
        <f t="shared" si="1"/>
        <v>0</v>
      </c>
      <c r="Q55" s="3"/>
    </row>
    <row r="56" spans="5:17" x14ac:dyDescent="0.25">
      <c r="E56" s="3">
        <v>6</v>
      </c>
      <c r="F56" s="3">
        <v>10</v>
      </c>
      <c r="G56">
        <v>10</v>
      </c>
      <c r="H56" s="3">
        <f t="shared" si="0"/>
        <v>-1.7643017790847438E+29</v>
      </c>
      <c r="I56" s="3">
        <f t="shared" si="1"/>
        <v>0</v>
      </c>
      <c r="Q56" s="3"/>
    </row>
    <row r="57" spans="5:17" x14ac:dyDescent="0.25">
      <c r="E57" s="3">
        <v>7</v>
      </c>
      <c r="F57" s="3">
        <v>11</v>
      </c>
      <c r="G57">
        <v>-3</v>
      </c>
      <c r="H57" s="3">
        <f t="shared" si="0"/>
        <v>-1.4101808323094797E+29</v>
      </c>
      <c r="I57" s="3">
        <f t="shared" si="1"/>
        <v>1</v>
      </c>
      <c r="Q57" s="3"/>
    </row>
    <row r="58" spans="5:17" x14ac:dyDescent="0.25">
      <c r="E58" s="3">
        <v>4</v>
      </c>
      <c r="F58" s="3">
        <v>11</v>
      </c>
      <c r="G58">
        <v>-4</v>
      </c>
      <c r="H58" s="3">
        <f t="shared" si="0"/>
        <v>-2.127824709820161E+29</v>
      </c>
      <c r="I58" s="3">
        <f t="shared" si="1"/>
        <v>1</v>
      </c>
      <c r="Q58" s="3"/>
    </row>
    <row r="59" spans="5:17" x14ac:dyDescent="0.25">
      <c r="E59" s="3">
        <v>29</v>
      </c>
      <c r="F59" s="3">
        <v>11</v>
      </c>
      <c r="G59">
        <v>2</v>
      </c>
      <c r="H59" s="3">
        <f t="shared" si="0"/>
        <v>-1.7041607362217979E+29</v>
      </c>
      <c r="I59" s="3">
        <f t="shared" si="1"/>
        <v>0</v>
      </c>
      <c r="Q59" s="3"/>
    </row>
    <row r="60" spans="5:17" x14ac:dyDescent="0.25">
      <c r="E60" s="3">
        <v>5</v>
      </c>
      <c r="F60" s="3">
        <v>11</v>
      </c>
      <c r="G60">
        <v>10</v>
      </c>
      <c r="H60" s="3">
        <f t="shared" si="0"/>
        <v>-1.5743646543631164E+29</v>
      </c>
      <c r="I60" s="3">
        <f t="shared" si="1"/>
        <v>0</v>
      </c>
      <c r="Q60" s="3"/>
    </row>
    <row r="61" spans="5:17" x14ac:dyDescent="0.25">
      <c r="E61" s="3">
        <v>12</v>
      </c>
      <c r="F61" s="3">
        <v>11</v>
      </c>
      <c r="G61">
        <v>-7</v>
      </c>
      <c r="H61" s="3">
        <f t="shared" si="0"/>
        <v>-2.3101730925322824E+29</v>
      </c>
      <c r="I61" s="3">
        <f t="shared" si="1"/>
        <v>1</v>
      </c>
      <c r="Q61" s="3"/>
    </row>
    <row r="62" spans="5:17" x14ac:dyDescent="0.25">
      <c r="E62" s="3">
        <v>11</v>
      </c>
      <c r="F62" s="3">
        <v>12</v>
      </c>
      <c r="G62">
        <v>-3</v>
      </c>
      <c r="H62" s="3">
        <f t="shared" si="0"/>
        <v>2.3101730925322824E+29</v>
      </c>
      <c r="I62" s="3">
        <f t="shared" si="1"/>
        <v>0</v>
      </c>
      <c r="Q62" s="3"/>
    </row>
    <row r="63" spans="5:17" x14ac:dyDescent="0.25">
      <c r="E63" s="3">
        <v>8</v>
      </c>
      <c r="F63" s="3">
        <v>12</v>
      </c>
      <c r="G63">
        <v>12</v>
      </c>
      <c r="H63" s="3">
        <f t="shared" si="0"/>
        <v>3.5350679958555613E+28</v>
      </c>
      <c r="I63" s="3">
        <f t="shared" si="1"/>
        <v>1</v>
      </c>
      <c r="Q63" s="3"/>
    </row>
    <row r="64" spans="5:17" x14ac:dyDescent="0.25">
      <c r="E64" s="3">
        <v>6</v>
      </c>
      <c r="F64" s="3">
        <v>12</v>
      </c>
      <c r="G64">
        <v>18</v>
      </c>
      <c r="H64" s="3">
        <f t="shared" si="0"/>
        <v>4.0134241448339494E+28</v>
      </c>
      <c r="I64" s="3">
        <f t="shared" si="1"/>
        <v>1</v>
      </c>
      <c r="Q64" s="3"/>
    </row>
    <row r="65" spans="5:17" x14ac:dyDescent="0.25">
      <c r="E65" s="3">
        <v>10</v>
      </c>
      <c r="F65" s="3">
        <v>12</v>
      </c>
      <c r="G65">
        <v>21</v>
      </c>
      <c r="H65" s="3">
        <f t="shared" si="0"/>
        <v>2.1656441935681387E+29</v>
      </c>
      <c r="I65" s="3">
        <f t="shared" si="1"/>
        <v>1</v>
      </c>
      <c r="Q65" s="3"/>
    </row>
    <row r="66" spans="5:17" x14ac:dyDescent="0.25">
      <c r="E66" s="3">
        <v>32</v>
      </c>
      <c r="F66" s="3">
        <v>13</v>
      </c>
      <c r="G66">
        <v>20</v>
      </c>
      <c r="H66" s="3">
        <f t="shared" si="0"/>
        <v>2.7397761066959648E+29</v>
      </c>
      <c r="I66" s="3">
        <f t="shared" si="1"/>
        <v>1</v>
      </c>
      <c r="Q66" s="3"/>
    </row>
    <row r="67" spans="5:17" x14ac:dyDescent="0.25">
      <c r="E67" s="3">
        <v>2</v>
      </c>
      <c r="F67" s="3">
        <v>13</v>
      </c>
      <c r="G67">
        <v>15</v>
      </c>
      <c r="H67" s="3">
        <f t="shared" ref="H67:H130" si="2">VLOOKUP(F67,$A$2:$C$33,3)+$C$35-VLOOKUP(E67,$A$2:$C$33,3)</f>
        <v>3.2407009242508864E+28</v>
      </c>
      <c r="I67" s="3">
        <f t="shared" si="1"/>
        <v>1</v>
      </c>
      <c r="Q67" s="3"/>
    </row>
    <row r="68" spans="5:17" x14ac:dyDescent="0.25">
      <c r="E68" s="3">
        <v>21</v>
      </c>
      <c r="F68" s="3">
        <v>13</v>
      </c>
      <c r="G68">
        <v>-21</v>
      </c>
      <c r="H68" s="3">
        <f t="shared" si="2"/>
        <v>-2.087908053085421E+29</v>
      </c>
      <c r="I68" s="3">
        <f t="shared" si="1"/>
        <v>1</v>
      </c>
      <c r="Q68" s="3"/>
    </row>
    <row r="69" spans="5:17" x14ac:dyDescent="0.25">
      <c r="E69" s="3">
        <v>24</v>
      </c>
      <c r="F69" s="3">
        <v>13</v>
      </c>
      <c r="G69">
        <v>6</v>
      </c>
      <c r="H69" s="3">
        <f t="shared" si="2"/>
        <v>7.4859405033911897E+28</v>
      </c>
      <c r="I69" s="3">
        <f t="shared" ref="I69:I132" si="3">IF(SIGN(G69)=SIGN(H69),1,0)</f>
        <v>1</v>
      </c>
      <c r="Q69" s="3"/>
    </row>
    <row r="70" spans="5:17" x14ac:dyDescent="0.25">
      <c r="E70" s="3">
        <v>13</v>
      </c>
      <c r="F70" s="3">
        <v>14</v>
      </c>
      <c r="G70">
        <v>9</v>
      </c>
      <c r="H70" s="3">
        <f t="shared" si="2"/>
        <v>2.0110026289567179E+28</v>
      </c>
      <c r="I70" s="3">
        <f t="shared" si="3"/>
        <v>1</v>
      </c>
      <c r="Q70" s="3"/>
    </row>
    <row r="71" spans="5:17" x14ac:dyDescent="0.25">
      <c r="E71" s="3">
        <v>18</v>
      </c>
      <c r="F71" s="3">
        <v>14</v>
      </c>
      <c r="G71">
        <v>3</v>
      </c>
      <c r="H71" s="3">
        <f t="shared" si="2"/>
        <v>4.8732401881702397E+28</v>
      </c>
      <c r="I71" s="3">
        <f t="shared" si="3"/>
        <v>1</v>
      </c>
      <c r="Q71" s="3"/>
    </row>
    <row r="72" spans="5:17" x14ac:dyDescent="0.25">
      <c r="E72" s="3">
        <v>20</v>
      </c>
      <c r="F72" s="3">
        <v>14</v>
      </c>
      <c r="G72">
        <v>-5</v>
      </c>
      <c r="H72" s="3">
        <f t="shared" si="2"/>
        <v>-3.0398444330742734E+28</v>
      </c>
      <c r="I72" s="3">
        <f t="shared" si="3"/>
        <v>1</v>
      </c>
      <c r="Q72" s="3"/>
    </row>
    <row r="73" spans="5:17" x14ac:dyDescent="0.25">
      <c r="E73" s="3">
        <v>8</v>
      </c>
      <c r="F73" s="3">
        <v>14</v>
      </c>
      <c r="G73">
        <v>-3</v>
      </c>
      <c r="H73" s="3">
        <f t="shared" si="2"/>
        <v>-4.6146817904291492E+28</v>
      </c>
      <c r="I73" s="3">
        <f t="shared" si="3"/>
        <v>1</v>
      </c>
      <c r="Q73" s="3"/>
    </row>
    <row r="74" spans="5:17" x14ac:dyDescent="0.25">
      <c r="E74" s="3">
        <v>16</v>
      </c>
      <c r="F74" s="3">
        <v>14</v>
      </c>
      <c r="G74">
        <v>-1</v>
      </c>
      <c r="H74" s="3">
        <f t="shared" si="2"/>
        <v>-4.2669212736796997E+28</v>
      </c>
      <c r="I74" s="3">
        <f t="shared" si="3"/>
        <v>1</v>
      </c>
      <c r="Q74" s="3"/>
    </row>
    <row r="75" spans="5:17" x14ac:dyDescent="0.25">
      <c r="E75" s="3">
        <v>26</v>
      </c>
      <c r="F75" s="3">
        <v>15</v>
      </c>
      <c r="G75">
        <v>17</v>
      </c>
      <c r="H75" s="3">
        <f t="shared" si="2"/>
        <v>6.7550581922500397E+28</v>
      </c>
      <c r="I75" s="3">
        <f t="shared" si="3"/>
        <v>1</v>
      </c>
      <c r="Q75" s="3"/>
    </row>
    <row r="76" spans="5:17" x14ac:dyDescent="0.25">
      <c r="E76" s="3">
        <v>19</v>
      </c>
      <c r="F76" s="3">
        <v>15</v>
      </c>
      <c r="G76">
        <v>8</v>
      </c>
      <c r="H76" s="3">
        <f t="shared" si="2"/>
        <v>3.2152316182017164E+29</v>
      </c>
      <c r="I76" s="3">
        <f t="shared" si="3"/>
        <v>1</v>
      </c>
      <c r="Q76" s="3"/>
    </row>
    <row r="77" spans="5:17" x14ac:dyDescent="0.25">
      <c r="E77" s="3">
        <v>30</v>
      </c>
      <c r="F77" s="3">
        <v>15</v>
      </c>
      <c r="G77">
        <v>9</v>
      </c>
      <c r="H77" s="3">
        <f t="shared" si="2"/>
        <v>2.1057952675043953E+28</v>
      </c>
      <c r="I77" s="3">
        <f t="shared" si="3"/>
        <v>1</v>
      </c>
      <c r="Q77" s="3"/>
    </row>
    <row r="78" spans="5:17" x14ac:dyDescent="0.25">
      <c r="E78" s="3">
        <v>11</v>
      </c>
      <c r="F78" s="3">
        <v>15</v>
      </c>
      <c r="G78">
        <v>22</v>
      </c>
      <c r="H78" s="3">
        <f t="shared" si="2"/>
        <v>4.0583650887844289E+29</v>
      </c>
      <c r="I78" s="3">
        <f t="shared" si="3"/>
        <v>1</v>
      </c>
      <c r="Q78" s="3"/>
    </row>
    <row r="79" spans="5:17" x14ac:dyDescent="0.25">
      <c r="E79" s="3">
        <v>20</v>
      </c>
      <c r="F79" s="3">
        <v>15</v>
      </c>
      <c r="G79">
        <v>-11</v>
      </c>
      <c r="H79" s="3">
        <f t="shared" si="2"/>
        <v>2.2591825315731902E+29</v>
      </c>
      <c r="I79" s="3">
        <f t="shared" si="3"/>
        <v>0</v>
      </c>
      <c r="Q79" s="3"/>
    </row>
    <row r="80" spans="5:17" x14ac:dyDescent="0.25">
      <c r="E80" s="3">
        <v>15</v>
      </c>
      <c r="F80" s="3">
        <v>16</v>
      </c>
      <c r="G80">
        <v>-3</v>
      </c>
      <c r="H80" s="3">
        <f t="shared" si="2"/>
        <v>-2.1364748475126476E+29</v>
      </c>
      <c r="I80" s="3">
        <f t="shared" si="3"/>
        <v>1</v>
      </c>
      <c r="Q80" s="3"/>
    </row>
    <row r="81" spans="5:17" x14ac:dyDescent="0.25">
      <c r="E81" s="3">
        <v>20</v>
      </c>
      <c r="F81" s="3">
        <v>16</v>
      </c>
      <c r="G81">
        <v>9</v>
      </c>
      <c r="H81" s="3">
        <f t="shared" si="2"/>
        <v>1.2270768406054263E+28</v>
      </c>
      <c r="I81" s="3">
        <f t="shared" si="3"/>
        <v>1</v>
      </c>
      <c r="Q81" s="3"/>
    </row>
    <row r="82" spans="5:17" x14ac:dyDescent="0.25">
      <c r="E82" s="3">
        <v>32</v>
      </c>
      <c r="F82" s="3">
        <v>16</v>
      </c>
      <c r="G82">
        <v>-3</v>
      </c>
      <c r="H82" s="3">
        <f t="shared" si="2"/>
        <v>3.3675684969596066E+29</v>
      </c>
      <c r="I82" s="3">
        <f t="shared" si="3"/>
        <v>0</v>
      </c>
      <c r="Q82" s="3"/>
    </row>
    <row r="83" spans="5:17" x14ac:dyDescent="0.25">
      <c r="E83" s="3">
        <v>8</v>
      </c>
      <c r="F83" s="3">
        <v>16</v>
      </c>
      <c r="G83">
        <v>-4</v>
      </c>
      <c r="H83" s="3">
        <f t="shared" si="2"/>
        <v>-3.4776051674944951E+27</v>
      </c>
      <c r="I83" s="3">
        <f t="shared" si="3"/>
        <v>1</v>
      </c>
      <c r="Q83" s="3"/>
    </row>
    <row r="84" spans="5:17" x14ac:dyDescent="0.25">
      <c r="E84" s="3">
        <v>25</v>
      </c>
      <c r="F84" s="3">
        <v>16</v>
      </c>
      <c r="G84">
        <v>6</v>
      </c>
      <c r="H84" s="3">
        <f t="shared" si="2"/>
        <v>1.833352698272136E+28</v>
      </c>
      <c r="I84" s="3">
        <f t="shared" si="3"/>
        <v>1</v>
      </c>
      <c r="Q84" s="3"/>
    </row>
    <row r="85" spans="5:17" x14ac:dyDescent="0.25">
      <c r="E85" s="3">
        <v>21</v>
      </c>
      <c r="F85" s="3">
        <v>17</v>
      </c>
      <c r="G85">
        <v>3</v>
      </c>
      <c r="H85" s="3">
        <f t="shared" si="2"/>
        <v>-2.1698558982954152E+29</v>
      </c>
      <c r="I85" s="3">
        <f t="shared" si="3"/>
        <v>0</v>
      </c>
      <c r="Q85" s="3"/>
    </row>
    <row r="86" spans="5:17" x14ac:dyDescent="0.25">
      <c r="E86" s="3">
        <v>28</v>
      </c>
      <c r="F86" s="3">
        <v>17</v>
      </c>
      <c r="G86">
        <v>-7</v>
      </c>
      <c r="H86" s="3">
        <f t="shared" si="2"/>
        <v>-1.1084852397527056E+29</v>
      </c>
      <c r="I86" s="3">
        <f t="shared" si="3"/>
        <v>1</v>
      </c>
      <c r="Q86" s="3"/>
    </row>
    <row r="87" spans="5:17" x14ac:dyDescent="0.25">
      <c r="E87" s="3">
        <v>19</v>
      </c>
      <c r="F87" s="3">
        <v>17</v>
      </c>
      <c r="G87">
        <v>7</v>
      </c>
      <c r="H87" s="3">
        <f t="shared" si="2"/>
        <v>3.6901653521543284E+28</v>
      </c>
      <c r="I87" s="3">
        <f t="shared" si="3"/>
        <v>1</v>
      </c>
      <c r="Q87" s="3"/>
    </row>
    <row r="88" spans="5:17" x14ac:dyDescent="0.25">
      <c r="E88" s="3">
        <v>20</v>
      </c>
      <c r="F88" s="3">
        <v>17</v>
      </c>
      <c r="G88">
        <v>-1</v>
      </c>
      <c r="H88" s="3">
        <f t="shared" si="2"/>
        <v>-5.8703255141309333E+28</v>
      </c>
      <c r="I88" s="3">
        <f t="shared" si="3"/>
        <v>1</v>
      </c>
      <c r="Q88" s="3"/>
    </row>
    <row r="89" spans="5:17" x14ac:dyDescent="0.25">
      <c r="E89" s="3">
        <v>15</v>
      </c>
      <c r="F89" s="3">
        <v>17</v>
      </c>
      <c r="G89">
        <v>-1</v>
      </c>
      <c r="H89" s="3">
        <f t="shared" si="2"/>
        <v>-2.8462150829862836E+29</v>
      </c>
      <c r="I89" s="3">
        <f t="shared" si="3"/>
        <v>1</v>
      </c>
      <c r="Q89" s="3"/>
    </row>
    <row r="90" spans="5:17" x14ac:dyDescent="0.25">
      <c r="E90" s="3">
        <v>17</v>
      </c>
      <c r="F90" s="3">
        <v>18</v>
      </c>
      <c r="G90">
        <v>0</v>
      </c>
      <c r="H90" s="3">
        <f t="shared" si="2"/>
        <v>-2.0427591071135798E+28</v>
      </c>
      <c r="I90" s="3">
        <f t="shared" si="3"/>
        <v>0</v>
      </c>
      <c r="Q90" s="3"/>
    </row>
    <row r="91" spans="5:17" x14ac:dyDescent="0.25">
      <c r="E91" s="3">
        <v>24</v>
      </c>
      <c r="F91" s="3">
        <v>18</v>
      </c>
      <c r="G91">
        <v>14</v>
      </c>
      <c r="H91" s="3">
        <f t="shared" si="2"/>
        <v>4.623702944177668E+28</v>
      </c>
      <c r="I91" s="3">
        <f t="shared" si="3"/>
        <v>1</v>
      </c>
      <c r="Q91" s="3"/>
    </row>
    <row r="92" spans="5:17" x14ac:dyDescent="0.25">
      <c r="E92" s="3">
        <v>28</v>
      </c>
      <c r="F92" s="3">
        <v>18</v>
      </c>
      <c r="G92">
        <v>-7</v>
      </c>
      <c r="H92" s="3">
        <f t="shared" si="2"/>
        <v>-1.3127611504640636E+29</v>
      </c>
      <c r="I92" s="3">
        <f t="shared" si="3"/>
        <v>1</v>
      </c>
      <c r="Q92" s="3"/>
    </row>
    <row r="93" spans="5:17" x14ac:dyDescent="0.25">
      <c r="E93" s="3">
        <v>15</v>
      </c>
      <c r="F93" s="3">
        <v>18</v>
      </c>
      <c r="G93">
        <v>-12</v>
      </c>
      <c r="H93" s="3">
        <f t="shared" si="2"/>
        <v>-3.0504909936976415E+29</v>
      </c>
      <c r="I93" s="3">
        <f t="shared" si="3"/>
        <v>1</v>
      </c>
      <c r="Q93" s="3"/>
    </row>
    <row r="94" spans="5:17" x14ac:dyDescent="0.25">
      <c r="E94" s="3">
        <v>20</v>
      </c>
      <c r="F94" s="3">
        <v>18</v>
      </c>
      <c r="G94">
        <v>-13</v>
      </c>
      <c r="H94" s="3">
        <f t="shared" si="2"/>
        <v>-7.9130846212445131E+28</v>
      </c>
      <c r="I94" s="3">
        <f t="shared" si="3"/>
        <v>1</v>
      </c>
      <c r="Q94" s="3"/>
    </row>
    <row r="95" spans="5:17" x14ac:dyDescent="0.25">
      <c r="E95" s="3">
        <v>17</v>
      </c>
      <c r="F95" s="3">
        <v>19</v>
      </c>
      <c r="G95">
        <v>24</v>
      </c>
      <c r="H95" s="3">
        <f t="shared" si="2"/>
        <v>-3.6901653521543284E+28</v>
      </c>
      <c r="I95" s="3">
        <f t="shared" si="3"/>
        <v>0</v>
      </c>
      <c r="Q95" s="3"/>
    </row>
    <row r="96" spans="5:17" x14ac:dyDescent="0.25">
      <c r="E96" s="3">
        <v>18</v>
      </c>
      <c r="F96" s="3">
        <v>19</v>
      </c>
      <c r="G96">
        <v>-7</v>
      </c>
      <c r="H96" s="3">
        <f t="shared" si="2"/>
        <v>-1.6474062450407486E+28</v>
      </c>
      <c r="I96" s="3">
        <f t="shared" si="3"/>
        <v>1</v>
      </c>
      <c r="Q96" s="3"/>
    </row>
    <row r="97" spans="5:17" x14ac:dyDescent="0.25">
      <c r="E97" s="3">
        <v>27</v>
      </c>
      <c r="F97" s="3">
        <v>19</v>
      </c>
      <c r="G97">
        <v>-6</v>
      </c>
      <c r="H97" s="3">
        <f t="shared" si="2"/>
        <v>-2.8545829556955219E+29</v>
      </c>
      <c r="I97" s="3">
        <f t="shared" si="3"/>
        <v>1</v>
      </c>
      <c r="Q97" s="3"/>
    </row>
    <row r="98" spans="5:17" x14ac:dyDescent="0.25">
      <c r="E98" s="3">
        <v>23</v>
      </c>
      <c r="F98" s="3">
        <v>19</v>
      </c>
      <c r="G98">
        <v>7</v>
      </c>
      <c r="H98" s="3">
        <f t="shared" si="2"/>
        <v>3.1223977173489923E+28</v>
      </c>
      <c r="I98" s="3">
        <f t="shared" si="3"/>
        <v>1</v>
      </c>
      <c r="Q98" s="3"/>
    </row>
    <row r="99" spans="5:17" x14ac:dyDescent="0.25">
      <c r="E99" s="3">
        <v>31</v>
      </c>
      <c r="F99" s="3">
        <v>19</v>
      </c>
      <c r="G99">
        <v>-4</v>
      </c>
      <c r="H99" s="3">
        <f t="shared" si="2"/>
        <v>2.2888117262705378E+29</v>
      </c>
      <c r="I99" s="3">
        <f t="shared" si="3"/>
        <v>0</v>
      </c>
      <c r="Q99" s="3"/>
    </row>
    <row r="100" spans="5:17" x14ac:dyDescent="0.25">
      <c r="E100" s="3">
        <v>19</v>
      </c>
      <c r="F100" s="3">
        <v>20</v>
      </c>
      <c r="G100">
        <v>6</v>
      </c>
      <c r="H100" s="3">
        <f t="shared" si="2"/>
        <v>9.5604908662852617E+28</v>
      </c>
      <c r="I100" s="3">
        <f t="shared" si="3"/>
        <v>1</v>
      </c>
      <c r="Q100" s="3"/>
    </row>
    <row r="101" spans="5:17" x14ac:dyDescent="0.25">
      <c r="E101" s="3">
        <v>15</v>
      </c>
      <c r="F101" s="3">
        <v>20</v>
      </c>
      <c r="G101">
        <v>-16</v>
      </c>
      <c r="H101" s="3">
        <f t="shared" si="2"/>
        <v>-2.2591825315731902E+29</v>
      </c>
      <c r="I101" s="3">
        <f t="shared" si="3"/>
        <v>1</v>
      </c>
      <c r="Q101" s="3"/>
    </row>
    <row r="102" spans="5:17" x14ac:dyDescent="0.25">
      <c r="E102" s="3">
        <v>28</v>
      </c>
      <c r="F102" s="3">
        <v>20</v>
      </c>
      <c r="G102">
        <v>-4</v>
      </c>
      <c r="H102" s="3">
        <f t="shared" si="2"/>
        <v>-5.2145268833961227E+28</v>
      </c>
      <c r="I102" s="3">
        <f t="shared" si="3"/>
        <v>1</v>
      </c>
      <c r="Q102" s="3"/>
    </row>
    <row r="103" spans="5:17" x14ac:dyDescent="0.25">
      <c r="E103" s="3">
        <v>25</v>
      </c>
      <c r="F103" s="3">
        <v>20</v>
      </c>
      <c r="G103">
        <v>2</v>
      </c>
      <c r="H103" s="3">
        <f t="shared" si="2"/>
        <v>6.0627585766670967E+27</v>
      </c>
      <c r="I103" s="3">
        <f t="shared" si="3"/>
        <v>1</v>
      </c>
      <c r="Q103" s="3"/>
    </row>
    <row r="104" spans="5:17" x14ac:dyDescent="0.25">
      <c r="E104" s="3">
        <v>26</v>
      </c>
      <c r="F104" s="3">
        <v>20</v>
      </c>
      <c r="G104">
        <v>-3</v>
      </c>
      <c r="H104" s="3">
        <f t="shared" si="2"/>
        <v>-1.5836767123481863E+29</v>
      </c>
      <c r="I104" s="3">
        <f t="shared" si="3"/>
        <v>1</v>
      </c>
      <c r="Q104" s="3"/>
    </row>
    <row r="105" spans="5:17" x14ac:dyDescent="0.25">
      <c r="E105" s="3">
        <v>24</v>
      </c>
      <c r="F105" s="3">
        <v>21</v>
      </c>
      <c r="G105">
        <v>3</v>
      </c>
      <c r="H105" s="3">
        <f t="shared" si="2"/>
        <v>2.8365021034245399E+29</v>
      </c>
      <c r="I105" s="3">
        <f t="shared" si="3"/>
        <v>1</v>
      </c>
      <c r="Q105" s="3"/>
    </row>
    <row r="106" spans="5:17" x14ac:dyDescent="0.25">
      <c r="E106" s="3">
        <v>23</v>
      </c>
      <c r="F106" s="3">
        <v>21</v>
      </c>
      <c r="G106">
        <v>1</v>
      </c>
      <c r="H106" s="3">
        <f t="shared" si="2"/>
        <v>2.8511122052457472E+29</v>
      </c>
      <c r="I106" s="3">
        <f t="shared" si="3"/>
        <v>1</v>
      </c>
      <c r="Q106" s="3"/>
    </row>
    <row r="107" spans="5:17" x14ac:dyDescent="0.25">
      <c r="E107" s="3">
        <v>1</v>
      </c>
      <c r="F107" s="3">
        <v>21</v>
      </c>
      <c r="G107">
        <v>-4</v>
      </c>
      <c r="H107" s="3">
        <f t="shared" si="2"/>
        <v>-8.9584608219736667E+28</v>
      </c>
      <c r="I107" s="3">
        <f t="shared" si="3"/>
        <v>1</v>
      </c>
      <c r="Q107" s="3"/>
    </row>
    <row r="108" spans="5:17" x14ac:dyDescent="0.25">
      <c r="E108" s="3">
        <v>28</v>
      </c>
      <c r="F108" s="3">
        <v>21</v>
      </c>
      <c r="G108">
        <v>3</v>
      </c>
      <c r="H108" s="3">
        <f t="shared" si="2"/>
        <v>1.0613706585427096E+29</v>
      </c>
      <c r="I108" s="3">
        <f t="shared" si="3"/>
        <v>1</v>
      </c>
      <c r="Q108" s="3"/>
    </row>
    <row r="109" spans="5:17" x14ac:dyDescent="0.25">
      <c r="E109" s="3">
        <v>19</v>
      </c>
      <c r="F109" s="3">
        <v>21</v>
      </c>
      <c r="G109">
        <v>10</v>
      </c>
      <c r="H109" s="3">
        <f t="shared" si="2"/>
        <v>2.538872433510848E+29</v>
      </c>
      <c r="I109" s="3">
        <f t="shared" si="3"/>
        <v>1</v>
      </c>
      <c r="Q109" s="3"/>
    </row>
    <row r="110" spans="5:17" x14ac:dyDescent="0.25">
      <c r="E110" s="3">
        <v>21</v>
      </c>
      <c r="F110" s="3">
        <v>22</v>
      </c>
      <c r="G110">
        <v>-23</v>
      </c>
      <c r="H110" s="3">
        <f t="shared" si="2"/>
        <v>-1.3419857489303495E+29</v>
      </c>
      <c r="I110" s="3">
        <f t="shared" si="3"/>
        <v>1</v>
      </c>
      <c r="Q110" s="3"/>
    </row>
    <row r="111" spans="5:17" x14ac:dyDescent="0.25">
      <c r="E111" s="3">
        <v>2</v>
      </c>
      <c r="F111" s="3">
        <v>22</v>
      </c>
      <c r="G111">
        <v>-8</v>
      </c>
      <c r="H111" s="3">
        <f t="shared" si="2"/>
        <v>1.0699923965801601E+29</v>
      </c>
      <c r="I111" s="3">
        <f t="shared" si="3"/>
        <v>0</v>
      </c>
      <c r="Q111" s="3"/>
    </row>
    <row r="112" spans="5:17" x14ac:dyDescent="0.25">
      <c r="E112" s="3">
        <v>15</v>
      </c>
      <c r="F112" s="3">
        <v>22</v>
      </c>
      <c r="G112">
        <v>-3</v>
      </c>
      <c r="H112" s="3">
        <f t="shared" si="2"/>
        <v>-2.0183449336212179E+29</v>
      </c>
      <c r="I112" s="3">
        <f t="shared" si="3"/>
        <v>1</v>
      </c>
      <c r="Q112" s="3"/>
    </row>
    <row r="113" spans="5:17" x14ac:dyDescent="0.25">
      <c r="E113" s="3">
        <v>5</v>
      </c>
      <c r="F113" s="3">
        <v>22</v>
      </c>
      <c r="G113">
        <v>8</v>
      </c>
      <c r="H113" s="3">
        <f t="shared" si="2"/>
        <v>4.6565550080009462E+28</v>
      </c>
      <c r="I113" s="3">
        <f t="shared" si="3"/>
        <v>1</v>
      </c>
      <c r="Q113" s="3"/>
    </row>
    <row r="114" spans="5:17" x14ac:dyDescent="0.25">
      <c r="E114" s="3">
        <v>32</v>
      </c>
      <c r="F114" s="3">
        <v>22</v>
      </c>
      <c r="G114">
        <v>-10</v>
      </c>
      <c r="H114" s="3">
        <f t="shared" si="2"/>
        <v>3.4856984108510363E+29</v>
      </c>
      <c r="I114" s="3">
        <f t="shared" si="3"/>
        <v>0</v>
      </c>
      <c r="Q114" s="3"/>
    </row>
    <row r="115" spans="5:17" x14ac:dyDescent="0.25">
      <c r="E115" s="3">
        <v>22</v>
      </c>
      <c r="F115" s="3">
        <v>23</v>
      </c>
      <c r="G115">
        <v>-6</v>
      </c>
      <c r="H115" s="3">
        <f t="shared" si="2"/>
        <v>-1.5091264563153977E+29</v>
      </c>
      <c r="I115" s="3">
        <f t="shared" si="3"/>
        <v>1</v>
      </c>
      <c r="Q115" s="3"/>
    </row>
    <row r="116" spans="5:17" x14ac:dyDescent="0.25">
      <c r="E116" s="3">
        <v>31</v>
      </c>
      <c r="F116" s="3">
        <v>23</v>
      </c>
      <c r="G116">
        <v>9</v>
      </c>
      <c r="H116" s="3">
        <f t="shared" si="2"/>
        <v>1.9765719545356386E+29</v>
      </c>
      <c r="I116" s="3">
        <f t="shared" si="3"/>
        <v>1</v>
      </c>
      <c r="Q116" s="3"/>
    </row>
    <row r="117" spans="5:17" x14ac:dyDescent="0.25">
      <c r="E117" s="3">
        <v>18</v>
      </c>
      <c r="F117" s="3">
        <v>23</v>
      </c>
      <c r="G117">
        <v>18</v>
      </c>
      <c r="H117" s="3">
        <f t="shared" si="2"/>
        <v>-4.7698039623897409E+28</v>
      </c>
      <c r="I117" s="3">
        <f t="shared" si="3"/>
        <v>0</v>
      </c>
      <c r="Q117" s="3"/>
    </row>
    <row r="118" spans="5:17" x14ac:dyDescent="0.25">
      <c r="E118" s="3">
        <v>17</v>
      </c>
      <c r="F118" s="3">
        <v>23</v>
      </c>
      <c r="G118">
        <v>-5</v>
      </c>
      <c r="H118" s="3">
        <f t="shared" si="2"/>
        <v>-6.8125630695033206E+28</v>
      </c>
      <c r="I118" s="3">
        <f t="shared" si="3"/>
        <v>1</v>
      </c>
      <c r="Q118" s="3"/>
    </row>
    <row r="119" spans="5:17" x14ac:dyDescent="0.25">
      <c r="E119" s="3">
        <v>23</v>
      </c>
      <c r="F119" s="3">
        <v>24</v>
      </c>
      <c r="G119">
        <v>5</v>
      </c>
      <c r="H119" s="3">
        <f t="shared" si="2"/>
        <v>1.461010182120729E+27</v>
      </c>
      <c r="I119" s="3">
        <f t="shared" si="3"/>
        <v>1</v>
      </c>
      <c r="Q119" s="3"/>
    </row>
    <row r="120" spans="5:17" x14ac:dyDescent="0.25">
      <c r="E120" s="3">
        <v>19</v>
      </c>
      <c r="F120" s="3">
        <v>24</v>
      </c>
      <c r="G120">
        <v>-28</v>
      </c>
      <c r="H120" s="3">
        <f t="shared" si="2"/>
        <v>-2.9762966991369194E+28</v>
      </c>
      <c r="I120" s="3">
        <f t="shared" si="3"/>
        <v>1</v>
      </c>
      <c r="Q120" s="3"/>
    </row>
    <row r="121" spans="5:17" x14ac:dyDescent="0.25">
      <c r="E121" s="3">
        <v>31</v>
      </c>
      <c r="F121" s="3">
        <v>24</v>
      </c>
      <c r="G121">
        <v>3</v>
      </c>
      <c r="H121" s="3">
        <f t="shared" si="2"/>
        <v>1.9911820563568459E+29</v>
      </c>
      <c r="I121" s="3">
        <f t="shared" si="3"/>
        <v>1</v>
      </c>
      <c r="Q121" s="3"/>
    </row>
    <row r="122" spans="5:17" x14ac:dyDescent="0.25">
      <c r="E122" s="3">
        <v>32</v>
      </c>
      <c r="F122" s="3">
        <v>24</v>
      </c>
      <c r="G122">
        <v>-14</v>
      </c>
      <c r="H122" s="3">
        <f t="shared" si="2"/>
        <v>1.9911820563568459E+29</v>
      </c>
      <c r="I122" s="3">
        <f t="shared" si="3"/>
        <v>0</v>
      </c>
      <c r="Q122" s="3"/>
    </row>
    <row r="123" spans="5:17" x14ac:dyDescent="0.25">
      <c r="E123" s="3">
        <v>21</v>
      </c>
      <c r="F123" s="3">
        <v>24</v>
      </c>
      <c r="G123">
        <v>-3</v>
      </c>
      <c r="H123" s="3">
        <f t="shared" si="2"/>
        <v>-2.8365021034245399E+29</v>
      </c>
      <c r="I123" s="3">
        <f t="shared" si="3"/>
        <v>1</v>
      </c>
      <c r="Q123" s="3"/>
    </row>
    <row r="124" spans="5:17" x14ac:dyDescent="0.25">
      <c r="E124" s="3">
        <v>14</v>
      </c>
      <c r="F124" s="3">
        <v>25</v>
      </c>
      <c r="G124">
        <v>17</v>
      </c>
      <c r="H124" s="3">
        <f t="shared" si="2"/>
        <v>2.4335685754075637E+28</v>
      </c>
      <c r="I124" s="3">
        <f t="shared" si="3"/>
        <v>1</v>
      </c>
      <c r="Q124" s="3"/>
    </row>
    <row r="125" spans="5:17" x14ac:dyDescent="0.25">
      <c r="E125" s="3">
        <v>7</v>
      </c>
      <c r="F125" s="3">
        <v>25</v>
      </c>
      <c r="G125">
        <v>3</v>
      </c>
      <c r="H125" s="3">
        <f t="shared" si="2"/>
        <v>3.2837413913508806E+28</v>
      </c>
      <c r="I125" s="3">
        <f t="shared" si="3"/>
        <v>1</v>
      </c>
      <c r="Q125" s="3"/>
    </row>
    <row r="126" spans="5:17" x14ac:dyDescent="0.25">
      <c r="E126" s="3">
        <v>27</v>
      </c>
      <c r="F126" s="3">
        <v>25</v>
      </c>
      <c r="G126">
        <v>-5</v>
      </c>
      <c r="H126" s="3">
        <f t="shared" si="2"/>
        <v>-1.9591614548336667E+29</v>
      </c>
      <c r="I126" s="3">
        <f t="shared" si="3"/>
        <v>1</v>
      </c>
      <c r="Q126" s="3"/>
    </row>
    <row r="127" spans="5:17" x14ac:dyDescent="0.25">
      <c r="E127" s="3">
        <v>4</v>
      </c>
      <c r="F127" s="3">
        <v>25</v>
      </c>
      <c r="G127">
        <v>-17</v>
      </c>
      <c r="H127" s="3">
        <f t="shared" si="2"/>
        <v>-3.8926973837559327E+28</v>
      </c>
      <c r="I127" s="3">
        <f t="shared" si="3"/>
        <v>1</v>
      </c>
      <c r="Q127" s="3"/>
    </row>
    <row r="128" spans="5:17" x14ac:dyDescent="0.25">
      <c r="E128" s="3">
        <v>30</v>
      </c>
      <c r="F128" s="3">
        <v>25</v>
      </c>
      <c r="G128">
        <v>3</v>
      </c>
      <c r="H128" s="3">
        <f t="shared" si="2"/>
        <v>-2.1092305905894217E+29</v>
      </c>
      <c r="I128" s="3">
        <f t="shared" si="3"/>
        <v>0</v>
      </c>
      <c r="Q128" s="3"/>
    </row>
    <row r="129" spans="5:17" x14ac:dyDescent="0.25">
      <c r="E129" s="3">
        <v>28</v>
      </c>
      <c r="F129" s="3">
        <v>25</v>
      </c>
      <c r="G129">
        <v>-10</v>
      </c>
      <c r="H129" s="3">
        <f t="shared" si="2"/>
        <v>-5.8208027410628324E+28</v>
      </c>
      <c r="I129" s="3">
        <f t="shared" si="3"/>
        <v>1</v>
      </c>
      <c r="Q129" s="3"/>
    </row>
    <row r="130" spans="5:17" x14ac:dyDescent="0.25">
      <c r="E130" s="3">
        <v>25</v>
      </c>
      <c r="F130" s="3">
        <v>26</v>
      </c>
      <c r="G130">
        <v>16</v>
      </c>
      <c r="H130" s="3">
        <f t="shared" si="2"/>
        <v>1.6443042981148572E+29</v>
      </c>
      <c r="I130" s="3">
        <f t="shared" si="3"/>
        <v>1</v>
      </c>
      <c r="Q130" s="3"/>
    </row>
    <row r="131" spans="5:17" x14ac:dyDescent="0.25">
      <c r="E131" s="3">
        <v>16</v>
      </c>
      <c r="F131" s="3">
        <v>26</v>
      </c>
      <c r="G131">
        <v>4</v>
      </c>
      <c r="H131" s="3">
        <f t="shared" ref="H131:H163" si="4">VLOOKUP(F131,$A$2:$C$33,3)+$C$35-VLOOKUP(E131,$A$2:$C$33,3)</f>
        <v>1.4609690282876436E+29</v>
      </c>
      <c r="I131" s="3">
        <f t="shared" si="3"/>
        <v>1</v>
      </c>
      <c r="Q131" s="3"/>
    </row>
    <row r="132" spans="5:17" x14ac:dyDescent="0.25">
      <c r="E132" s="3">
        <v>14</v>
      </c>
      <c r="F132" s="3">
        <v>26</v>
      </c>
      <c r="G132">
        <v>7</v>
      </c>
      <c r="H132" s="3">
        <f t="shared" si="4"/>
        <v>1.8876611556556136E+29</v>
      </c>
      <c r="I132" s="3">
        <f t="shared" si="3"/>
        <v>1</v>
      </c>
      <c r="Q132" s="3"/>
    </row>
    <row r="133" spans="5:17" x14ac:dyDescent="0.25">
      <c r="E133" s="3">
        <v>22</v>
      </c>
      <c r="F133" s="3">
        <v>26</v>
      </c>
      <c r="G133">
        <v>8</v>
      </c>
      <c r="H133" s="3">
        <f t="shared" si="4"/>
        <v>1.342839114396214E+29</v>
      </c>
      <c r="I133" s="3">
        <f t="shared" ref="I133:I164" si="5">IF(SIGN(G133)=SIGN(H133),1,0)</f>
        <v>1</v>
      </c>
      <c r="Q133" s="3"/>
    </row>
    <row r="134" spans="5:17" x14ac:dyDescent="0.25">
      <c r="E134" s="3">
        <v>30</v>
      </c>
      <c r="F134" s="3">
        <v>26</v>
      </c>
      <c r="G134">
        <v>-37</v>
      </c>
      <c r="H134" s="3">
        <f t="shared" si="4"/>
        <v>-4.6492629247456444E+28</v>
      </c>
      <c r="I134" s="3">
        <f t="shared" si="5"/>
        <v>1</v>
      </c>
      <c r="Q134" s="3"/>
    </row>
    <row r="135" spans="5:17" x14ac:dyDescent="0.25">
      <c r="E135" s="3">
        <v>10</v>
      </c>
      <c r="F135" s="3">
        <v>27</v>
      </c>
      <c r="G135">
        <v>3</v>
      </c>
      <c r="H135" s="3">
        <f t="shared" si="4"/>
        <v>3.5531875273140911E+29</v>
      </c>
      <c r="I135" s="3">
        <f t="shared" si="5"/>
        <v>1</v>
      </c>
      <c r="Q135" s="3"/>
    </row>
    <row r="136" spans="5:17" x14ac:dyDescent="0.25">
      <c r="E136" s="3">
        <v>30</v>
      </c>
      <c r="F136" s="3">
        <v>27</v>
      </c>
      <c r="G136">
        <v>-7</v>
      </c>
      <c r="H136" s="3">
        <f t="shared" si="4"/>
        <v>-1.5006913575575496E+28</v>
      </c>
      <c r="I136" s="3">
        <f t="shared" si="5"/>
        <v>1</v>
      </c>
      <c r="Q136" s="3"/>
    </row>
    <row r="137" spans="5:17" x14ac:dyDescent="0.25">
      <c r="E137" s="3">
        <v>14</v>
      </c>
      <c r="F137" s="3">
        <v>27</v>
      </c>
      <c r="G137">
        <v>8</v>
      </c>
      <c r="H137" s="3">
        <f t="shared" si="4"/>
        <v>2.2025183123744231E+29</v>
      </c>
      <c r="I137" s="3">
        <f t="shared" si="5"/>
        <v>1</v>
      </c>
      <c r="Q137" s="3"/>
    </row>
    <row r="138" spans="5:17" x14ac:dyDescent="0.25">
      <c r="E138" s="3">
        <v>3</v>
      </c>
      <c r="F138" s="3">
        <v>27</v>
      </c>
      <c r="G138">
        <v>4</v>
      </c>
      <c r="H138" s="3">
        <f t="shared" si="4"/>
        <v>8.8693624845473875E+27</v>
      </c>
      <c r="I138" s="3">
        <f t="shared" si="5"/>
        <v>1</v>
      </c>
      <c r="Q138" s="3"/>
    </row>
    <row r="139" spans="5:17" x14ac:dyDescent="0.25">
      <c r="E139" s="3">
        <v>18</v>
      </c>
      <c r="F139" s="3">
        <v>27</v>
      </c>
      <c r="G139">
        <v>8</v>
      </c>
      <c r="H139" s="3">
        <f t="shared" si="4"/>
        <v>2.689842331191447E+29</v>
      </c>
      <c r="I139" s="3">
        <f t="shared" si="5"/>
        <v>1</v>
      </c>
      <c r="Q139" s="3"/>
    </row>
    <row r="140" spans="5:17" x14ac:dyDescent="0.25">
      <c r="E140" s="3">
        <v>16</v>
      </c>
      <c r="F140" s="3">
        <v>27</v>
      </c>
      <c r="G140">
        <v>-13</v>
      </c>
      <c r="H140" s="3">
        <f t="shared" si="4"/>
        <v>1.7758261850064531E+29</v>
      </c>
      <c r="I140" s="3">
        <f t="shared" si="5"/>
        <v>0</v>
      </c>
      <c r="Q140" s="3"/>
    </row>
    <row r="141" spans="5:17" x14ac:dyDescent="0.25">
      <c r="E141" s="3">
        <v>27</v>
      </c>
      <c r="F141" s="3">
        <v>28</v>
      </c>
      <c r="G141">
        <v>-1</v>
      </c>
      <c r="H141" s="3">
        <f t="shared" si="4"/>
        <v>-1.3770811807273835E+29</v>
      </c>
      <c r="I141" s="3">
        <f t="shared" si="5"/>
        <v>1</v>
      </c>
      <c r="Q141" s="3"/>
    </row>
    <row r="142" spans="5:17" x14ac:dyDescent="0.25">
      <c r="E142" s="3">
        <v>23</v>
      </c>
      <c r="F142" s="3">
        <v>28</v>
      </c>
      <c r="G142">
        <v>2</v>
      </c>
      <c r="H142" s="3">
        <f t="shared" si="4"/>
        <v>1.7897415467030377E+29</v>
      </c>
      <c r="I142" s="3">
        <f t="shared" si="5"/>
        <v>1</v>
      </c>
      <c r="Q142" s="3"/>
    </row>
    <row r="143" spans="5:17" x14ac:dyDescent="0.25">
      <c r="E143" s="3">
        <v>17</v>
      </c>
      <c r="F143" s="3">
        <v>28</v>
      </c>
      <c r="G143">
        <v>9</v>
      </c>
      <c r="H143" s="3">
        <f t="shared" si="4"/>
        <v>1.1084852397527056E+29</v>
      </c>
      <c r="I143" s="3">
        <f t="shared" si="5"/>
        <v>1</v>
      </c>
      <c r="Q143" s="3"/>
    </row>
    <row r="144" spans="5:17" x14ac:dyDescent="0.25">
      <c r="E144" s="3">
        <v>31</v>
      </c>
      <c r="F144" s="3">
        <v>28</v>
      </c>
      <c r="G144">
        <v>7</v>
      </c>
      <c r="H144" s="3">
        <f t="shared" si="4"/>
        <v>3.7663135012386762E+29</v>
      </c>
      <c r="I144" s="3">
        <f t="shared" si="5"/>
        <v>1</v>
      </c>
      <c r="Q144" s="3"/>
    </row>
    <row r="145" spans="5:17" x14ac:dyDescent="0.25">
      <c r="E145" s="3">
        <v>25</v>
      </c>
      <c r="F145" s="3">
        <v>29</v>
      </c>
      <c r="G145">
        <v>-2</v>
      </c>
      <c r="H145" s="3">
        <f t="shared" si="4"/>
        <v>-3.4394235222769796E+27</v>
      </c>
      <c r="I145" s="3">
        <f t="shared" si="5"/>
        <v>1</v>
      </c>
      <c r="Q145" s="3"/>
    </row>
    <row r="146" spans="5:17" x14ac:dyDescent="0.25">
      <c r="E146" s="3">
        <v>21</v>
      </c>
      <c r="F146" s="3">
        <v>29</v>
      </c>
      <c r="G146">
        <v>-10</v>
      </c>
      <c r="H146" s="3">
        <f t="shared" si="4"/>
        <v>-1.6778451678717626E+29</v>
      </c>
      <c r="I146" s="3">
        <f t="shared" si="5"/>
        <v>1</v>
      </c>
      <c r="Q146" s="3"/>
    </row>
    <row r="147" spans="5:17" x14ac:dyDescent="0.25">
      <c r="E147" s="3">
        <v>6</v>
      </c>
      <c r="F147" s="3">
        <v>29</v>
      </c>
      <c r="G147">
        <v>-39</v>
      </c>
      <c r="H147" s="3">
        <f t="shared" si="4"/>
        <v>-2.0466994182708953E+28</v>
      </c>
      <c r="I147" s="3">
        <f t="shared" si="5"/>
        <v>1</v>
      </c>
      <c r="Q147" s="3"/>
    </row>
    <row r="148" spans="5:17" x14ac:dyDescent="0.25">
      <c r="E148" s="3">
        <v>3</v>
      </c>
      <c r="F148" s="3">
        <v>29</v>
      </c>
      <c r="G148">
        <v>-5</v>
      </c>
      <c r="H148" s="3">
        <f t="shared" si="4"/>
        <v>-1.9048620652109626E+29</v>
      </c>
      <c r="I148" s="3">
        <f t="shared" si="5"/>
        <v>1</v>
      </c>
      <c r="Q148" s="3"/>
    </row>
    <row r="149" spans="5:17" x14ac:dyDescent="0.25">
      <c r="E149" s="3">
        <v>2</v>
      </c>
      <c r="F149" s="3">
        <v>29</v>
      </c>
      <c r="G149">
        <v>3</v>
      </c>
      <c r="H149" s="3">
        <f t="shared" si="4"/>
        <v>7.34132977638747E+28</v>
      </c>
      <c r="I149" s="3">
        <f t="shared" si="5"/>
        <v>1</v>
      </c>
      <c r="Q149" s="3"/>
    </row>
    <row r="150" spans="5:17" x14ac:dyDescent="0.25">
      <c r="E150" s="3">
        <v>32</v>
      </c>
      <c r="F150" s="3">
        <v>29</v>
      </c>
      <c r="G150">
        <v>5</v>
      </c>
      <c r="H150" s="3">
        <f t="shared" si="4"/>
        <v>3.1498389919096232E+29</v>
      </c>
      <c r="I150" s="3">
        <f t="shared" si="5"/>
        <v>1</v>
      </c>
      <c r="Q150" s="3"/>
    </row>
    <row r="151" spans="5:17" x14ac:dyDescent="0.25">
      <c r="E151" s="3">
        <v>29</v>
      </c>
      <c r="F151" s="3">
        <v>30</v>
      </c>
      <c r="G151">
        <v>-16</v>
      </c>
      <c r="H151" s="3">
        <f t="shared" si="4"/>
        <v>2.1436248258121915E+29</v>
      </c>
      <c r="I151" s="3">
        <f t="shared" si="5"/>
        <v>0</v>
      </c>
      <c r="Q151" s="3"/>
    </row>
    <row r="152" spans="5:17" x14ac:dyDescent="0.25">
      <c r="E152" s="3">
        <v>12</v>
      </c>
      <c r="F152" s="3">
        <v>30</v>
      </c>
      <c r="G152">
        <v>3</v>
      </c>
      <c r="H152" s="3">
        <f t="shared" si="4"/>
        <v>1.537612469501707E+29</v>
      </c>
      <c r="I152" s="3">
        <f t="shared" si="5"/>
        <v>1</v>
      </c>
      <c r="Q152" s="3"/>
    </row>
    <row r="153" spans="5:17" x14ac:dyDescent="0.25">
      <c r="E153" s="3">
        <v>20</v>
      </c>
      <c r="F153" s="3">
        <v>30</v>
      </c>
      <c r="G153">
        <v>15</v>
      </c>
      <c r="H153" s="3">
        <f t="shared" si="4"/>
        <v>2.0486030048227507E+29</v>
      </c>
      <c r="I153" s="3">
        <f t="shared" si="5"/>
        <v>1</v>
      </c>
      <c r="Q153" s="3"/>
    </row>
    <row r="154" spans="5:17" x14ac:dyDescent="0.25">
      <c r="E154" s="3">
        <v>16</v>
      </c>
      <c r="F154" s="3">
        <v>30</v>
      </c>
      <c r="G154">
        <v>18</v>
      </c>
      <c r="H154" s="3">
        <f t="shared" si="4"/>
        <v>1.9258953207622081E+29</v>
      </c>
      <c r="I154" s="3">
        <f t="shared" si="5"/>
        <v>1</v>
      </c>
      <c r="Q154" s="3"/>
    </row>
    <row r="155" spans="5:17" x14ac:dyDescent="0.25">
      <c r="E155" s="3">
        <v>14</v>
      </c>
      <c r="F155" s="3">
        <v>30</v>
      </c>
      <c r="G155">
        <v>20</v>
      </c>
      <c r="H155" s="3">
        <f t="shared" si="4"/>
        <v>2.352587448130178E+29</v>
      </c>
      <c r="I155" s="3">
        <f t="shared" si="5"/>
        <v>1</v>
      </c>
      <c r="Q155" s="3"/>
    </row>
    <row r="156" spans="5:17" x14ac:dyDescent="0.25">
      <c r="E156" s="3">
        <v>18</v>
      </c>
      <c r="F156" s="3">
        <v>31</v>
      </c>
      <c r="G156">
        <v>7</v>
      </c>
      <c r="H156" s="3">
        <f t="shared" si="4"/>
        <v>-2.4535523507746127E+29</v>
      </c>
      <c r="I156" s="3">
        <f t="shared" si="5"/>
        <v>0</v>
      </c>
      <c r="J156" s="3" t="s">
        <v>41</v>
      </c>
      <c r="Q156" s="3"/>
    </row>
    <row r="157" spans="5:17" x14ac:dyDescent="0.25">
      <c r="E157" s="3">
        <v>13</v>
      </c>
      <c r="F157" s="3">
        <v>31</v>
      </c>
      <c r="G157">
        <v>1</v>
      </c>
      <c r="H157" s="3">
        <f t="shared" si="4"/>
        <v>-2.7397761066959648E+29</v>
      </c>
      <c r="I157" s="3">
        <f t="shared" si="5"/>
        <v>0</v>
      </c>
      <c r="Q157" s="3"/>
    </row>
    <row r="158" spans="5:17" x14ac:dyDescent="0.25">
      <c r="E158" s="3">
        <v>17</v>
      </c>
      <c r="F158" s="3">
        <v>31</v>
      </c>
      <c r="G158">
        <v>-3</v>
      </c>
      <c r="H158" s="3">
        <f t="shared" si="4"/>
        <v>-2.6578282614859706E+29</v>
      </c>
      <c r="I158" s="3">
        <f t="shared" si="5"/>
        <v>1</v>
      </c>
      <c r="Q158" s="3"/>
    </row>
    <row r="159" spans="5:17" x14ac:dyDescent="0.25">
      <c r="E159" s="3">
        <v>4</v>
      </c>
      <c r="F159" s="3">
        <v>31</v>
      </c>
      <c r="G159">
        <v>-7</v>
      </c>
      <c r="H159" s="3">
        <f t="shared" si="4"/>
        <v>-3.5735029655079863E+29</v>
      </c>
      <c r="I159" s="3">
        <f t="shared" si="5"/>
        <v>1</v>
      </c>
      <c r="Q159" s="3"/>
    </row>
    <row r="160" spans="5:17" x14ac:dyDescent="0.25">
      <c r="E160" s="3">
        <v>23</v>
      </c>
      <c r="F160" s="3">
        <v>31</v>
      </c>
      <c r="G160">
        <v>-6</v>
      </c>
      <c r="H160" s="3">
        <f t="shared" si="4"/>
        <v>-1.9765719545356386E+29</v>
      </c>
      <c r="I160" s="3">
        <f t="shared" si="5"/>
        <v>1</v>
      </c>
      <c r="Q160" s="3"/>
    </row>
    <row r="161" spans="5:17" x14ac:dyDescent="0.25">
      <c r="E161" s="3">
        <v>31</v>
      </c>
      <c r="F161" s="3">
        <v>32</v>
      </c>
      <c r="G161">
        <v>1</v>
      </c>
      <c r="H161" s="3">
        <f t="shared" si="4"/>
        <v>58.41080929602014</v>
      </c>
      <c r="I161" s="3">
        <f t="shared" si="5"/>
        <v>1</v>
      </c>
      <c r="Q161" s="3"/>
    </row>
    <row r="162" spans="5:17" x14ac:dyDescent="0.25">
      <c r="E162" s="3">
        <v>6</v>
      </c>
      <c r="F162" s="3">
        <v>32</v>
      </c>
      <c r="G162">
        <v>-4</v>
      </c>
      <c r="H162" s="3">
        <f t="shared" si="4"/>
        <v>-3.3545089337367127E+29</v>
      </c>
      <c r="I162" s="3">
        <f t="shared" si="5"/>
        <v>1</v>
      </c>
      <c r="Q162" s="3"/>
    </row>
    <row r="163" spans="5:17" x14ac:dyDescent="0.25">
      <c r="E163" s="3">
        <v>22</v>
      </c>
      <c r="F163" s="3">
        <v>32</v>
      </c>
      <c r="G163">
        <v>10</v>
      </c>
      <c r="H163" s="3">
        <f t="shared" si="4"/>
        <v>-3.4856984108510363E+29</v>
      </c>
      <c r="I163" s="3">
        <f t="shared" si="5"/>
        <v>0</v>
      </c>
      <c r="Q163" s="3"/>
    </row>
    <row r="164" spans="5:17" x14ac:dyDescent="0.25">
      <c r="E164" s="3">
        <v>27</v>
      </c>
      <c r="F164" s="3">
        <v>32</v>
      </c>
      <c r="G164">
        <v>14</v>
      </c>
      <c r="H164" s="3">
        <f>VLOOKUP(F164,$A$2:$C$33,3)+$C$35-VLOOKUP(E164,$A$2:$C$33,3)</f>
        <v>-5.1433946819660597E+29</v>
      </c>
      <c r="I164" s="3">
        <f t="shared" si="5"/>
        <v>0</v>
      </c>
      <c r="Q164" s="3"/>
    </row>
    <row r="165" spans="5:17" x14ac:dyDescent="0.25">
      <c r="H165" s="3" t="s">
        <v>43</v>
      </c>
      <c r="I165" s="3">
        <f>SUM(I2:I164)</f>
        <v>131</v>
      </c>
      <c r="Q16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0278-0071-4CAA-8230-0127C0C53D01}">
  <sheetPr codeName="Sheet3"/>
  <dimension ref="A1:O169"/>
  <sheetViews>
    <sheetView workbookViewId="0">
      <selection activeCell="H1" sqref="H1:H1048576"/>
    </sheetView>
  </sheetViews>
  <sheetFormatPr defaultRowHeight="15" x14ac:dyDescent="0.25"/>
  <sheetData>
    <row r="1" spans="1:11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</row>
    <row r="2" spans="1:11" x14ac:dyDescent="0.25">
      <c r="A2" s="3">
        <v>1</v>
      </c>
      <c r="B2" s="4" t="s">
        <v>8</v>
      </c>
      <c r="C2" s="3">
        <v>18.849418996065992</v>
      </c>
      <c r="D2" s="3"/>
      <c r="E2" s="3">
        <v>28</v>
      </c>
      <c r="F2" s="3">
        <v>1</v>
      </c>
      <c r="G2">
        <v>34</v>
      </c>
      <c r="H2" s="3">
        <f>VLOOKUP(F2,$A$2:$C$33,3)+$C$35-VLOOKUP(E2,$A$2:$C$33,3)</f>
        <v>13.560771662912048</v>
      </c>
      <c r="I2" s="3">
        <f>IF(SIGN(G2)=SIGN(H2),1,0)</f>
        <v>1</v>
      </c>
      <c r="J2" s="3" t="s">
        <v>9</v>
      </c>
      <c r="K2" s="5">
        <f>SUMXMY2(H2:H164,G2:G164)</f>
        <v>18935.80810435702</v>
      </c>
    </row>
    <row r="3" spans="1:11" x14ac:dyDescent="0.25">
      <c r="A3" s="3">
        <v>2</v>
      </c>
      <c r="B3" s="4" t="s">
        <v>10</v>
      </c>
      <c r="C3" s="3">
        <v>0.96668420384986775</v>
      </c>
      <c r="D3" s="3"/>
      <c r="E3" s="3">
        <v>11</v>
      </c>
      <c r="F3" s="3">
        <v>1</v>
      </c>
      <c r="G3">
        <v>35</v>
      </c>
      <c r="H3" s="3">
        <f t="shared" ref="H3:H66" si="0">VLOOKUP(F3,$A$2:$C$33,3)+$C$35-VLOOKUP(E3,$A$2:$C$33,3)</f>
        <v>17.504924000025916</v>
      </c>
      <c r="I3" s="3">
        <f>IF(SIGN(G3)=SIGN(H3),1,0)</f>
        <v>1</v>
      </c>
      <c r="J3" s="3"/>
      <c r="K3" s="3"/>
    </row>
    <row r="4" spans="1:11" x14ac:dyDescent="0.25">
      <c r="A4" s="3">
        <v>3</v>
      </c>
      <c r="B4" s="4" t="s">
        <v>11</v>
      </c>
      <c r="C4" s="3">
        <v>13.482172643379066</v>
      </c>
      <c r="D4" s="3"/>
      <c r="E4" s="3">
        <v>25</v>
      </c>
      <c r="F4" s="3">
        <v>1</v>
      </c>
      <c r="G4">
        <v>10</v>
      </c>
      <c r="H4" s="3">
        <f t="shared" si="0"/>
        <v>15.68578229890711</v>
      </c>
      <c r="I4" s="3">
        <f>IF(SIGN(G4)=SIGN(H4),1,0)</f>
        <v>1</v>
      </c>
      <c r="J4" s="3"/>
      <c r="K4" s="3"/>
    </row>
    <row r="5" spans="1:11" x14ac:dyDescent="0.25">
      <c r="A5" s="3">
        <v>4</v>
      </c>
      <c r="B5" s="4" t="s">
        <v>12</v>
      </c>
      <c r="C5" s="3">
        <v>14.847088376212417</v>
      </c>
      <c r="D5" s="3"/>
      <c r="E5" s="3">
        <v>26</v>
      </c>
      <c r="F5" s="3">
        <v>1</v>
      </c>
      <c r="G5">
        <v>-3</v>
      </c>
      <c r="H5" s="3">
        <f t="shared" si="0"/>
        <v>12.412261977475131</v>
      </c>
      <c r="I5" s="3">
        <f t="shared" ref="I5:I68" si="1">IF(SIGN(G5)=SIGN(H5),1,0)</f>
        <v>0</v>
      </c>
      <c r="J5" s="3"/>
      <c r="K5" s="3"/>
    </row>
    <row r="6" spans="1:11" x14ac:dyDescent="0.25">
      <c r="A6" s="3">
        <v>5</v>
      </c>
      <c r="B6" s="4" t="s">
        <v>13</v>
      </c>
      <c r="C6" s="3">
        <v>3.6331984795151242</v>
      </c>
      <c r="D6" s="3"/>
      <c r="E6" s="3">
        <v>9</v>
      </c>
      <c r="F6" s="3">
        <v>1</v>
      </c>
      <c r="G6">
        <v>9</v>
      </c>
      <c r="H6" s="3">
        <f t="shared" si="0"/>
        <v>12.784437270780472</v>
      </c>
      <c r="I6" s="3">
        <f t="shared" si="1"/>
        <v>1</v>
      </c>
      <c r="J6" s="3"/>
      <c r="K6" s="3"/>
    </row>
    <row r="7" spans="1:11" x14ac:dyDescent="0.25">
      <c r="A7" s="3">
        <v>6</v>
      </c>
      <c r="B7" s="4" t="s">
        <v>14</v>
      </c>
      <c r="C7" s="3">
        <v>8.1242745880423186</v>
      </c>
      <c r="D7" s="3"/>
      <c r="E7" s="3">
        <v>1</v>
      </c>
      <c r="F7" s="3">
        <v>2</v>
      </c>
      <c r="G7">
        <v>-21</v>
      </c>
      <c r="H7" s="3">
        <f t="shared" si="0"/>
        <v>-16.194233393740159</v>
      </c>
      <c r="I7" s="3">
        <f t="shared" si="1"/>
        <v>1</v>
      </c>
      <c r="J7" s="3"/>
      <c r="K7" s="3"/>
    </row>
    <row r="8" spans="1:11" x14ac:dyDescent="0.25">
      <c r="A8" s="3">
        <v>7</v>
      </c>
      <c r="B8" s="4" t="s">
        <v>15</v>
      </c>
      <c r="C8" s="3">
        <v>7.9194541573798203</v>
      </c>
      <c r="D8" s="3"/>
      <c r="E8" s="3">
        <v>6</v>
      </c>
      <c r="F8" s="3">
        <v>2</v>
      </c>
      <c r="G8">
        <v>4</v>
      </c>
      <c r="H8" s="3">
        <f t="shared" si="0"/>
        <v>-5.4690889857164864</v>
      </c>
      <c r="I8" s="3">
        <f t="shared" si="1"/>
        <v>0</v>
      </c>
      <c r="J8" s="3"/>
      <c r="K8" s="3"/>
    </row>
    <row r="9" spans="1:11" x14ac:dyDescent="0.25">
      <c r="A9" s="3">
        <v>8</v>
      </c>
      <c r="B9" s="4" t="s">
        <v>16</v>
      </c>
      <c r="C9" s="3">
        <v>8.7600593942142169</v>
      </c>
      <c r="D9" s="3"/>
      <c r="E9" s="3">
        <v>30</v>
      </c>
      <c r="F9" s="3">
        <v>2</v>
      </c>
      <c r="G9">
        <v>-12</v>
      </c>
      <c r="H9" s="3">
        <f t="shared" si="0"/>
        <v>-12.269770871667269</v>
      </c>
      <c r="I9" s="3">
        <f t="shared" si="1"/>
        <v>1</v>
      </c>
      <c r="J9" s="3"/>
      <c r="K9" s="3"/>
    </row>
    <row r="10" spans="1:11" x14ac:dyDescent="0.25">
      <c r="A10" s="3">
        <v>9</v>
      </c>
      <c r="B10" s="4" t="s">
        <v>17</v>
      </c>
      <c r="C10" s="3">
        <v>7.7534831237614839</v>
      </c>
      <c r="D10" s="3"/>
      <c r="E10" s="3">
        <v>10</v>
      </c>
      <c r="F10" s="3">
        <v>2</v>
      </c>
      <c r="G10">
        <v>14</v>
      </c>
      <c r="H10" s="3">
        <f t="shared" si="0"/>
        <v>0.45287367881308604</v>
      </c>
      <c r="I10" s="3">
        <f t="shared" si="1"/>
        <v>1</v>
      </c>
      <c r="J10" s="3"/>
      <c r="K10" s="3"/>
    </row>
    <row r="11" spans="1:11" x14ac:dyDescent="0.25">
      <c r="A11" s="3">
        <v>10</v>
      </c>
      <c r="B11" s="4" t="s">
        <v>18</v>
      </c>
      <c r="C11" s="3">
        <v>2.2023119235127462</v>
      </c>
      <c r="D11" s="3"/>
      <c r="E11" s="3">
        <v>13</v>
      </c>
      <c r="F11" s="3">
        <v>2</v>
      </c>
      <c r="G11">
        <v>-17</v>
      </c>
      <c r="H11" s="3">
        <f t="shared" si="0"/>
        <v>-5.5295073015101908</v>
      </c>
      <c r="I11" s="3">
        <f t="shared" si="1"/>
        <v>1</v>
      </c>
      <c r="J11" s="3"/>
      <c r="K11" s="3"/>
    </row>
    <row r="12" spans="1:11" x14ac:dyDescent="0.25">
      <c r="A12" s="3">
        <v>11</v>
      </c>
      <c r="B12" s="4" t="s">
        <v>19</v>
      </c>
      <c r="C12" s="3">
        <v>3.0329963945160401</v>
      </c>
      <c r="D12" s="3"/>
      <c r="E12" s="3">
        <v>22</v>
      </c>
      <c r="F12" s="3">
        <v>2</v>
      </c>
      <c r="G12">
        <v>-10</v>
      </c>
      <c r="H12" s="3">
        <f t="shared" si="0"/>
        <v>-0.13325479775761595</v>
      </c>
      <c r="I12" s="3">
        <f t="shared" si="1"/>
        <v>1</v>
      </c>
      <c r="J12" s="3"/>
      <c r="K12" s="3"/>
    </row>
    <row r="13" spans="1:11" x14ac:dyDescent="0.25">
      <c r="A13" s="3">
        <v>12</v>
      </c>
      <c r="B13" s="4" t="s">
        <v>20</v>
      </c>
      <c r="C13" s="3">
        <v>13.317054125037073</v>
      </c>
      <c r="D13" s="3"/>
      <c r="E13" s="3">
        <v>8</v>
      </c>
      <c r="F13" s="3">
        <v>3</v>
      </c>
      <c r="G13">
        <v>-4</v>
      </c>
      <c r="H13" s="3">
        <f t="shared" si="0"/>
        <v>6.4106146476408128</v>
      </c>
      <c r="I13" s="3">
        <f t="shared" si="1"/>
        <v>0</v>
      </c>
      <c r="J13" s="3"/>
      <c r="K13" s="3"/>
    </row>
    <row r="14" spans="1:11" x14ac:dyDescent="0.25">
      <c r="A14" s="3">
        <v>13</v>
      </c>
      <c r="B14" s="4" t="s">
        <v>21</v>
      </c>
      <c r="C14" s="3">
        <v>8.184692903836023</v>
      </c>
      <c r="D14" s="3"/>
      <c r="E14" s="3">
        <v>1</v>
      </c>
      <c r="F14" s="3">
        <v>3</v>
      </c>
      <c r="G14">
        <v>-3</v>
      </c>
      <c r="H14" s="3">
        <f t="shared" si="0"/>
        <v>-3.6787449542109627</v>
      </c>
      <c r="I14" s="3">
        <f t="shared" si="1"/>
        <v>1</v>
      </c>
      <c r="J14" s="3"/>
      <c r="K14" s="3"/>
    </row>
    <row r="15" spans="1:11" x14ac:dyDescent="0.25">
      <c r="A15" s="3">
        <v>14</v>
      </c>
      <c r="B15" s="4" t="s">
        <v>22</v>
      </c>
      <c r="C15" s="3">
        <v>4.3366703755276159</v>
      </c>
      <c r="D15" s="3"/>
      <c r="E15" s="3">
        <v>12</v>
      </c>
      <c r="F15" s="3">
        <v>3</v>
      </c>
      <c r="G15">
        <v>2</v>
      </c>
      <c r="H15" s="3">
        <f t="shared" si="0"/>
        <v>1.8536199168179568</v>
      </c>
      <c r="I15" s="3">
        <f t="shared" si="1"/>
        <v>1</v>
      </c>
      <c r="J15" s="3"/>
      <c r="K15" s="3"/>
    </row>
    <row r="16" spans="1:11" x14ac:dyDescent="0.25">
      <c r="A16" s="3">
        <v>15</v>
      </c>
      <c r="B16" s="4" t="s">
        <v>23</v>
      </c>
      <c r="C16" s="3">
        <v>13.569733668111358</v>
      </c>
      <c r="D16" s="3"/>
      <c r="E16" s="3">
        <v>9</v>
      </c>
      <c r="F16" s="3">
        <v>3</v>
      </c>
      <c r="G16">
        <v>3</v>
      </c>
      <c r="H16" s="3">
        <f t="shared" si="0"/>
        <v>7.4171909180935458</v>
      </c>
      <c r="I16" s="3">
        <f t="shared" si="1"/>
        <v>1</v>
      </c>
      <c r="J16" s="3"/>
      <c r="K16" s="3"/>
    </row>
    <row r="17" spans="1:11" x14ac:dyDescent="0.25">
      <c r="A17" s="3">
        <v>16</v>
      </c>
      <c r="B17" s="4" t="s">
        <v>24</v>
      </c>
      <c r="C17" s="3">
        <v>4.9365977037255826</v>
      </c>
      <c r="D17" s="3"/>
      <c r="E17" s="3">
        <v>10</v>
      </c>
      <c r="F17" s="3">
        <v>3</v>
      </c>
      <c r="G17">
        <v>10</v>
      </c>
      <c r="H17" s="3">
        <f t="shared" si="0"/>
        <v>12.968362118342284</v>
      </c>
      <c r="I17" s="3">
        <f t="shared" si="1"/>
        <v>1</v>
      </c>
      <c r="J17" s="3"/>
      <c r="K17" s="3"/>
    </row>
    <row r="18" spans="1:11" x14ac:dyDescent="0.25">
      <c r="A18" s="3">
        <v>17</v>
      </c>
      <c r="B18" s="4" t="s">
        <v>25</v>
      </c>
      <c r="C18" s="3">
        <v>2.3462468389771152</v>
      </c>
      <c r="D18" s="3"/>
      <c r="E18" s="3">
        <v>3</v>
      </c>
      <c r="F18" s="3">
        <v>4</v>
      </c>
      <c r="G18">
        <v>-15</v>
      </c>
      <c r="H18" s="3">
        <f t="shared" si="0"/>
        <v>3.0534171313093168</v>
      </c>
      <c r="I18" s="3">
        <f t="shared" si="1"/>
        <v>0</v>
      </c>
      <c r="J18" s="3"/>
      <c r="K18" s="3"/>
    </row>
    <row r="19" spans="1:11" x14ac:dyDescent="0.25">
      <c r="A19" s="3">
        <v>18</v>
      </c>
      <c r="B19" s="4" t="s">
        <v>26</v>
      </c>
      <c r="C19" s="3">
        <v>0.40543093757391924</v>
      </c>
      <c r="D19" s="3"/>
      <c r="E19" s="3">
        <v>12</v>
      </c>
      <c r="F19" s="3">
        <v>4</v>
      </c>
      <c r="G19">
        <v>-15</v>
      </c>
      <c r="H19" s="3">
        <f t="shared" si="0"/>
        <v>3.2185356496513098</v>
      </c>
      <c r="I19" s="3">
        <f t="shared" si="1"/>
        <v>0</v>
      </c>
      <c r="J19" s="3"/>
      <c r="K19" s="3"/>
    </row>
    <row r="20" spans="1:11" x14ac:dyDescent="0.25">
      <c r="A20" s="3">
        <v>19</v>
      </c>
      <c r="B20" s="4" t="s">
        <v>27</v>
      </c>
      <c r="C20" s="3">
        <v>5.9262663703942566</v>
      </c>
      <c r="D20" s="3"/>
      <c r="E20" s="3">
        <v>8</v>
      </c>
      <c r="F20" s="3">
        <v>4</v>
      </c>
      <c r="G20">
        <v>23</v>
      </c>
      <c r="H20" s="3">
        <f t="shared" si="0"/>
        <v>7.7755303804741658</v>
      </c>
      <c r="I20" s="3">
        <f t="shared" si="1"/>
        <v>1</v>
      </c>
      <c r="J20" s="3"/>
      <c r="K20" s="3"/>
    </row>
    <row r="21" spans="1:11" x14ac:dyDescent="0.25">
      <c r="A21" s="3">
        <v>20</v>
      </c>
      <c r="B21" s="4" t="s">
        <v>28</v>
      </c>
      <c r="C21" s="3">
        <v>6.6053712119380616</v>
      </c>
      <c r="D21" s="3"/>
      <c r="E21" s="3">
        <v>7</v>
      </c>
      <c r="F21" s="3">
        <v>4</v>
      </c>
      <c r="G21">
        <v>39</v>
      </c>
      <c r="H21" s="3">
        <f t="shared" si="0"/>
        <v>8.6161356173085615</v>
      </c>
      <c r="I21" s="3">
        <f t="shared" si="1"/>
        <v>1</v>
      </c>
      <c r="J21" s="3"/>
      <c r="K21" s="3"/>
    </row>
    <row r="22" spans="1:11" x14ac:dyDescent="0.25">
      <c r="A22" s="3">
        <v>21</v>
      </c>
      <c r="B22" s="4" t="s">
        <v>29</v>
      </c>
      <c r="C22" s="3">
        <v>11.69676117912554</v>
      </c>
      <c r="D22" s="3"/>
      <c r="E22" s="3">
        <v>1</v>
      </c>
      <c r="F22" s="3">
        <v>4</v>
      </c>
      <c r="G22">
        <v>3</v>
      </c>
      <c r="H22" s="3">
        <f t="shared" si="0"/>
        <v>-2.3138292213776097</v>
      </c>
      <c r="I22" s="3">
        <f t="shared" si="1"/>
        <v>0</v>
      </c>
      <c r="J22" s="3"/>
      <c r="K22" s="3"/>
    </row>
    <row r="23" spans="1:11" x14ac:dyDescent="0.25">
      <c r="A23" s="3">
        <v>22</v>
      </c>
      <c r="B23" s="4" t="s">
        <v>30</v>
      </c>
      <c r="C23" s="3">
        <v>2.7884404000834482</v>
      </c>
      <c r="D23" s="3"/>
      <c r="E23" s="3">
        <v>29</v>
      </c>
      <c r="F23" s="3">
        <v>5</v>
      </c>
      <c r="G23">
        <v>-10</v>
      </c>
      <c r="H23" s="3">
        <f t="shared" si="0"/>
        <v>2.9582811690096267</v>
      </c>
      <c r="I23" s="3">
        <f t="shared" si="1"/>
        <v>0</v>
      </c>
      <c r="J23" s="3"/>
      <c r="K23" s="3"/>
    </row>
    <row r="24" spans="1:11" x14ac:dyDescent="0.25">
      <c r="A24" s="3">
        <v>23</v>
      </c>
      <c r="B24" s="4" t="s">
        <v>31</v>
      </c>
      <c r="C24" s="3">
        <v>2.531980139286186</v>
      </c>
      <c r="D24" s="3"/>
      <c r="E24" s="3">
        <v>26</v>
      </c>
      <c r="F24" s="3">
        <v>5</v>
      </c>
      <c r="G24">
        <v>-3</v>
      </c>
      <c r="H24" s="3">
        <f t="shared" si="0"/>
        <v>-2.8039585390757367</v>
      </c>
      <c r="I24" s="3">
        <f t="shared" si="1"/>
        <v>1</v>
      </c>
      <c r="J24" s="3"/>
      <c r="K24" s="3"/>
    </row>
    <row r="25" spans="1:11" x14ac:dyDescent="0.25">
      <c r="A25" s="3">
        <v>24</v>
      </c>
      <c r="B25" s="4" t="s">
        <v>32</v>
      </c>
      <c r="C25" s="3">
        <v>0</v>
      </c>
      <c r="D25" s="3"/>
      <c r="E25" s="3">
        <v>32</v>
      </c>
      <c r="F25" s="3">
        <v>5</v>
      </c>
      <c r="G25">
        <v>7</v>
      </c>
      <c r="H25" s="3">
        <f t="shared" si="0"/>
        <v>-0.77399595803526733</v>
      </c>
      <c r="I25" s="3">
        <f t="shared" si="1"/>
        <v>0</v>
      </c>
      <c r="J25" s="3"/>
      <c r="K25" s="3"/>
    </row>
    <row r="26" spans="1:11" x14ac:dyDescent="0.25">
      <c r="A26" s="3">
        <v>25</v>
      </c>
      <c r="B26" s="4" t="s">
        <v>33</v>
      </c>
      <c r="C26" s="3">
        <v>4.8521380956348468</v>
      </c>
      <c r="D26" s="3"/>
      <c r="E26" s="3">
        <v>12</v>
      </c>
      <c r="F26" s="3">
        <v>5</v>
      </c>
      <c r="G26">
        <v>-4</v>
      </c>
      <c r="H26" s="3">
        <f t="shared" si="0"/>
        <v>-7.9953542470459844</v>
      </c>
      <c r="I26" s="3">
        <f t="shared" si="1"/>
        <v>1</v>
      </c>
      <c r="J26" s="3"/>
      <c r="K26" s="3"/>
    </row>
    <row r="27" spans="1:11" x14ac:dyDescent="0.25">
      <c r="A27" s="3">
        <v>26</v>
      </c>
      <c r="B27" s="4" t="s">
        <v>34</v>
      </c>
      <c r="C27" s="3">
        <v>8.1256584170668251</v>
      </c>
      <c r="D27" s="3"/>
      <c r="E27" s="3">
        <v>23</v>
      </c>
      <c r="F27" s="3">
        <v>5</v>
      </c>
      <c r="G27">
        <v>24</v>
      </c>
      <c r="H27" s="3">
        <f t="shared" si="0"/>
        <v>2.7897197387049024</v>
      </c>
      <c r="I27" s="3">
        <f t="shared" si="1"/>
        <v>1</v>
      </c>
      <c r="J27" s="3"/>
      <c r="K27" s="3"/>
    </row>
    <row r="28" spans="1:11" x14ac:dyDescent="0.25">
      <c r="A28" s="3">
        <v>27</v>
      </c>
      <c r="B28" s="4" t="s">
        <v>35</v>
      </c>
      <c r="C28" s="3">
        <v>6.1762386121042709</v>
      </c>
      <c r="D28" s="3"/>
      <c r="E28" s="3">
        <v>3</v>
      </c>
      <c r="F28" s="3">
        <v>5</v>
      </c>
      <c r="G28">
        <v>-14</v>
      </c>
      <c r="H28" s="3">
        <f t="shared" si="0"/>
        <v>-8.1604727653879774</v>
      </c>
      <c r="I28" s="3">
        <f t="shared" si="1"/>
        <v>1</v>
      </c>
      <c r="J28" s="3"/>
      <c r="K28" s="3"/>
    </row>
    <row r="29" spans="1:11" x14ac:dyDescent="0.25">
      <c r="A29" s="3">
        <v>28</v>
      </c>
      <c r="B29" s="4" t="s">
        <v>36</v>
      </c>
      <c r="C29" s="3">
        <v>6.9771487316299083</v>
      </c>
      <c r="D29" s="3"/>
      <c r="E29" s="3">
        <v>2</v>
      </c>
      <c r="F29" s="3">
        <v>5</v>
      </c>
      <c r="G29">
        <v>7</v>
      </c>
      <c r="H29" s="3">
        <f t="shared" si="0"/>
        <v>4.3550156741412209</v>
      </c>
      <c r="I29" s="3">
        <f t="shared" si="1"/>
        <v>1</v>
      </c>
      <c r="J29" s="3"/>
      <c r="K29" s="3"/>
    </row>
    <row r="30" spans="1:11" x14ac:dyDescent="0.25">
      <c r="A30" s="3">
        <v>29</v>
      </c>
      <c r="B30" s="4" t="s">
        <v>37</v>
      </c>
      <c r="C30" s="3">
        <v>2.3634187089814618</v>
      </c>
      <c r="D30" s="3"/>
      <c r="E30" s="3">
        <v>5</v>
      </c>
      <c r="F30" s="3">
        <v>6</v>
      </c>
      <c r="G30">
        <v>-1</v>
      </c>
      <c r="H30" s="3">
        <f t="shared" si="0"/>
        <v>6.1795775070031578</v>
      </c>
      <c r="I30" s="3">
        <f t="shared" si="1"/>
        <v>0</v>
      </c>
      <c r="J30" s="3"/>
      <c r="K30" s="3"/>
    </row>
    <row r="31" spans="1:11" x14ac:dyDescent="0.25">
      <c r="A31" s="3">
        <v>30</v>
      </c>
      <c r="B31" s="4" t="s">
        <v>38</v>
      </c>
      <c r="C31" s="3">
        <v>14.924956473993102</v>
      </c>
      <c r="D31" s="3"/>
      <c r="E31" s="3">
        <v>9</v>
      </c>
      <c r="F31" s="3">
        <v>6</v>
      </c>
      <c r="G31">
        <v>3</v>
      </c>
      <c r="H31" s="3">
        <f t="shared" si="0"/>
        <v>2.0592928627567986</v>
      </c>
      <c r="I31" s="3">
        <f t="shared" si="1"/>
        <v>1</v>
      </c>
      <c r="J31" s="3"/>
      <c r="K31" s="3"/>
    </row>
    <row r="32" spans="1:11" x14ac:dyDescent="0.25">
      <c r="A32" s="3">
        <v>31</v>
      </c>
      <c r="B32" s="4" t="s">
        <v>39</v>
      </c>
      <c r="C32" s="3">
        <v>2.5846530139376966</v>
      </c>
      <c r="D32" s="3"/>
      <c r="E32" s="3">
        <v>13</v>
      </c>
      <c r="F32" s="3">
        <v>6</v>
      </c>
      <c r="G32">
        <v>14</v>
      </c>
      <c r="H32" s="3">
        <f t="shared" si="0"/>
        <v>1.6280830826822594</v>
      </c>
      <c r="I32" s="3">
        <f t="shared" si="1"/>
        <v>1</v>
      </c>
      <c r="J32" s="3"/>
      <c r="K32" s="3"/>
    </row>
    <row r="33" spans="1:11" x14ac:dyDescent="0.25">
      <c r="A33" s="3">
        <v>32</v>
      </c>
      <c r="B33" s="4" t="s">
        <v>40</v>
      </c>
      <c r="C33" s="3">
        <v>6.0956958360263558</v>
      </c>
      <c r="D33" s="3"/>
      <c r="E33" s="3">
        <v>10</v>
      </c>
      <c r="F33" s="3">
        <v>6</v>
      </c>
      <c r="G33">
        <v>3</v>
      </c>
      <c r="H33" s="3">
        <f t="shared" si="0"/>
        <v>7.6104640630055362</v>
      </c>
      <c r="I33" s="3">
        <f t="shared" si="1"/>
        <v>1</v>
      </c>
      <c r="J33" s="3"/>
      <c r="K33" s="3"/>
    </row>
    <row r="34" spans="1:11" x14ac:dyDescent="0.25">
      <c r="C34" s="3" t="s">
        <v>41</v>
      </c>
      <c r="D34" s="3"/>
      <c r="E34" s="3">
        <v>24</v>
      </c>
      <c r="F34" s="3">
        <v>6</v>
      </c>
      <c r="G34">
        <v>7</v>
      </c>
      <c r="H34" s="3">
        <f t="shared" si="0"/>
        <v>9.8127759865182824</v>
      </c>
      <c r="I34" s="3">
        <f t="shared" si="1"/>
        <v>1</v>
      </c>
      <c r="J34" s="3"/>
      <c r="K34" s="3"/>
    </row>
    <row r="35" spans="1:11" x14ac:dyDescent="0.25">
      <c r="B35" s="4" t="s">
        <v>42</v>
      </c>
      <c r="C35" s="3">
        <v>1.6885013984759645</v>
      </c>
      <c r="D35" s="3"/>
      <c r="E35" s="3">
        <v>14</v>
      </c>
      <c r="F35" s="3">
        <v>6</v>
      </c>
      <c r="G35">
        <v>3</v>
      </c>
      <c r="H35" s="3">
        <f t="shared" si="0"/>
        <v>5.4761056109906665</v>
      </c>
      <c r="I35" s="3">
        <f t="shared" si="1"/>
        <v>1</v>
      </c>
    </row>
    <row r="36" spans="1:11" x14ac:dyDescent="0.25">
      <c r="E36" s="3">
        <v>3</v>
      </c>
      <c r="F36" s="3">
        <v>7</v>
      </c>
      <c r="G36">
        <v>-11</v>
      </c>
      <c r="H36" s="3">
        <f t="shared" si="0"/>
        <v>-3.8742170875232809</v>
      </c>
      <c r="I36" s="3">
        <f t="shared" si="1"/>
        <v>1</v>
      </c>
    </row>
    <row r="37" spans="1:11" x14ac:dyDescent="0.25">
      <c r="E37" s="3">
        <v>16</v>
      </c>
      <c r="F37" s="3">
        <v>7</v>
      </c>
      <c r="G37">
        <v>29</v>
      </c>
      <c r="H37" s="3">
        <f t="shared" si="0"/>
        <v>4.6713578521302024</v>
      </c>
      <c r="I37" s="3">
        <f t="shared" si="1"/>
        <v>1</v>
      </c>
    </row>
    <row r="38" spans="1:11" x14ac:dyDescent="0.25">
      <c r="E38" s="3">
        <v>14</v>
      </c>
      <c r="F38" s="3">
        <v>7</v>
      </c>
      <c r="G38">
        <v>-19</v>
      </c>
      <c r="H38" s="3">
        <f t="shared" si="0"/>
        <v>5.2712851803281691</v>
      </c>
      <c r="I38" s="3">
        <f t="shared" si="1"/>
        <v>0</v>
      </c>
    </row>
    <row r="39" spans="1:11" x14ac:dyDescent="0.25">
      <c r="E39" s="3">
        <v>17</v>
      </c>
      <c r="F39" s="3">
        <v>7</v>
      </c>
      <c r="G39">
        <v>23</v>
      </c>
      <c r="H39" s="3">
        <f t="shared" si="0"/>
        <v>7.2617087168786698</v>
      </c>
      <c r="I39" s="3">
        <f t="shared" si="1"/>
        <v>1</v>
      </c>
    </row>
    <row r="40" spans="1:11" x14ac:dyDescent="0.25">
      <c r="E40" s="3">
        <v>4</v>
      </c>
      <c r="F40" s="3">
        <v>7</v>
      </c>
      <c r="G40">
        <v>7</v>
      </c>
      <c r="H40" s="3">
        <f t="shared" si="0"/>
        <v>-5.2391328203566321</v>
      </c>
      <c r="I40" s="3">
        <f t="shared" si="1"/>
        <v>0</v>
      </c>
    </row>
    <row r="41" spans="1:11" x14ac:dyDescent="0.25">
      <c r="E41" s="3">
        <v>7</v>
      </c>
      <c r="F41" s="3">
        <v>8</v>
      </c>
      <c r="G41">
        <v>13</v>
      </c>
      <c r="H41" s="3">
        <f t="shared" si="0"/>
        <v>2.5291066353103604</v>
      </c>
      <c r="I41" s="3">
        <f t="shared" si="1"/>
        <v>1</v>
      </c>
    </row>
    <row r="42" spans="1:11" x14ac:dyDescent="0.25">
      <c r="E42" s="3">
        <v>1</v>
      </c>
      <c r="F42" s="3">
        <v>8</v>
      </c>
      <c r="G42">
        <v>2</v>
      </c>
      <c r="H42" s="3">
        <f t="shared" si="0"/>
        <v>-8.4008582033758117</v>
      </c>
      <c r="I42" s="3">
        <f t="shared" si="1"/>
        <v>0</v>
      </c>
    </row>
    <row r="43" spans="1:11" x14ac:dyDescent="0.25">
      <c r="E43" s="3">
        <v>26</v>
      </c>
      <c r="F43" s="3">
        <v>8</v>
      </c>
      <c r="G43">
        <v>-8</v>
      </c>
      <c r="H43" s="3">
        <f t="shared" si="0"/>
        <v>2.3229023756233556</v>
      </c>
      <c r="I43" s="3">
        <f t="shared" si="1"/>
        <v>0</v>
      </c>
    </row>
    <row r="44" spans="1:11" x14ac:dyDescent="0.25">
      <c r="E44" s="3">
        <v>11</v>
      </c>
      <c r="F44" s="3">
        <v>8</v>
      </c>
      <c r="G44">
        <v>6</v>
      </c>
      <c r="H44" s="3">
        <f t="shared" si="0"/>
        <v>7.4155643981741406</v>
      </c>
      <c r="I44" s="3">
        <f t="shared" si="1"/>
        <v>1</v>
      </c>
    </row>
    <row r="45" spans="1:11" x14ac:dyDescent="0.25">
      <c r="E45" s="3">
        <v>9</v>
      </c>
      <c r="F45" s="3">
        <v>8</v>
      </c>
      <c r="G45">
        <v>2</v>
      </c>
      <c r="H45" s="3">
        <f t="shared" si="0"/>
        <v>2.6950776689286968</v>
      </c>
      <c r="I45" s="3">
        <f t="shared" si="1"/>
        <v>1</v>
      </c>
    </row>
    <row r="46" spans="1:11" x14ac:dyDescent="0.25">
      <c r="E46" s="3">
        <v>4</v>
      </c>
      <c r="F46" s="3">
        <v>9</v>
      </c>
      <c r="G46">
        <v>-4</v>
      </c>
      <c r="H46" s="3">
        <f t="shared" si="0"/>
        <v>-5.4051038539749694</v>
      </c>
      <c r="I46" s="3">
        <f t="shared" si="1"/>
        <v>1</v>
      </c>
    </row>
    <row r="47" spans="1:11" x14ac:dyDescent="0.25">
      <c r="E47" s="3">
        <v>11</v>
      </c>
      <c r="F47" s="3">
        <v>9</v>
      </c>
      <c r="G47">
        <v>12</v>
      </c>
      <c r="H47" s="3">
        <f t="shared" si="0"/>
        <v>6.4089881277214076</v>
      </c>
      <c r="I47" s="3">
        <f t="shared" si="1"/>
        <v>1</v>
      </c>
    </row>
    <row r="48" spans="1:11" x14ac:dyDescent="0.25">
      <c r="E48" s="3">
        <v>24</v>
      </c>
      <c r="F48" s="3">
        <v>9</v>
      </c>
      <c r="G48">
        <v>-2</v>
      </c>
      <c r="H48" s="3">
        <f t="shared" si="0"/>
        <v>9.4419845222374477</v>
      </c>
      <c r="I48" s="3">
        <f t="shared" si="1"/>
        <v>0</v>
      </c>
    </row>
    <row r="49" spans="5:9" x14ac:dyDescent="0.25">
      <c r="E49" s="3">
        <v>7</v>
      </c>
      <c r="F49" s="3">
        <v>9</v>
      </c>
      <c r="G49">
        <v>-23</v>
      </c>
      <c r="H49" s="3">
        <f t="shared" si="0"/>
        <v>1.5225303648576274</v>
      </c>
      <c r="I49" s="3">
        <f t="shared" si="1"/>
        <v>0</v>
      </c>
    </row>
    <row r="50" spans="5:9" x14ac:dyDescent="0.25">
      <c r="E50" s="3">
        <v>12</v>
      </c>
      <c r="F50" s="3">
        <v>9</v>
      </c>
      <c r="G50">
        <v>19</v>
      </c>
      <c r="H50" s="3">
        <f t="shared" si="0"/>
        <v>-3.8750696027996252</v>
      </c>
      <c r="I50" s="3">
        <f t="shared" si="1"/>
        <v>0</v>
      </c>
    </row>
    <row r="51" spans="5:9" x14ac:dyDescent="0.25">
      <c r="E51" s="3">
        <v>9</v>
      </c>
      <c r="F51" s="3">
        <v>10</v>
      </c>
      <c r="G51">
        <v>-2</v>
      </c>
      <c r="H51" s="3">
        <f t="shared" si="0"/>
        <v>-3.862669801772773</v>
      </c>
      <c r="I51" s="3">
        <f t="shared" si="1"/>
        <v>1</v>
      </c>
    </row>
    <row r="52" spans="5:9" x14ac:dyDescent="0.25">
      <c r="E52" s="3">
        <v>5</v>
      </c>
      <c r="F52" s="3">
        <v>10</v>
      </c>
      <c r="G52">
        <v>8</v>
      </c>
      <c r="H52" s="3">
        <f t="shared" si="0"/>
        <v>0.25761484247358668</v>
      </c>
      <c r="I52" s="3">
        <f t="shared" si="1"/>
        <v>1</v>
      </c>
    </row>
    <row r="53" spans="5:9" x14ac:dyDescent="0.25">
      <c r="E53" s="3">
        <v>22</v>
      </c>
      <c r="F53" s="3">
        <v>10</v>
      </c>
      <c r="G53">
        <v>-10</v>
      </c>
      <c r="H53" s="3">
        <f t="shared" si="0"/>
        <v>1.1023729219052627</v>
      </c>
      <c r="I53" s="3">
        <f t="shared" si="1"/>
        <v>0</v>
      </c>
    </row>
    <row r="54" spans="5:9" x14ac:dyDescent="0.25">
      <c r="E54" s="3">
        <v>13</v>
      </c>
      <c r="F54" s="3">
        <v>10</v>
      </c>
      <c r="G54">
        <v>-22</v>
      </c>
      <c r="H54" s="3">
        <f t="shared" si="0"/>
        <v>-4.2938795818473121</v>
      </c>
      <c r="I54" s="3">
        <f t="shared" si="1"/>
        <v>1</v>
      </c>
    </row>
    <row r="55" spans="5:9" x14ac:dyDescent="0.25">
      <c r="E55" s="3">
        <v>29</v>
      </c>
      <c r="F55" s="3">
        <v>10</v>
      </c>
      <c r="G55">
        <v>18</v>
      </c>
      <c r="H55" s="3">
        <f t="shared" si="0"/>
        <v>1.5273946130072491</v>
      </c>
      <c r="I55" s="3">
        <f t="shared" si="1"/>
        <v>1</v>
      </c>
    </row>
    <row r="56" spans="5:9" x14ac:dyDescent="0.25">
      <c r="E56" s="3">
        <v>6</v>
      </c>
      <c r="F56" s="3">
        <v>10</v>
      </c>
      <c r="G56">
        <v>10</v>
      </c>
      <c r="H56" s="3">
        <f t="shared" si="0"/>
        <v>-4.2334612660536077</v>
      </c>
      <c r="I56" s="3">
        <f t="shared" si="1"/>
        <v>0</v>
      </c>
    </row>
    <row r="57" spans="5:9" x14ac:dyDescent="0.25">
      <c r="E57" s="3">
        <v>7</v>
      </c>
      <c r="F57" s="3">
        <v>11</v>
      </c>
      <c r="G57">
        <v>-3</v>
      </c>
      <c r="H57" s="3">
        <f t="shared" si="0"/>
        <v>-3.1979563643878155</v>
      </c>
      <c r="I57" s="3">
        <f t="shared" si="1"/>
        <v>1</v>
      </c>
    </row>
    <row r="58" spans="5:9" x14ac:dyDescent="0.25">
      <c r="E58" s="3">
        <v>4</v>
      </c>
      <c r="F58" s="3">
        <v>11</v>
      </c>
      <c r="G58">
        <v>-4</v>
      </c>
      <c r="H58" s="3">
        <f t="shared" si="0"/>
        <v>-10.125590583220411</v>
      </c>
      <c r="I58" s="3">
        <f t="shared" si="1"/>
        <v>1</v>
      </c>
    </row>
    <row r="59" spans="5:9" x14ac:dyDescent="0.25">
      <c r="E59" s="3">
        <v>29</v>
      </c>
      <c r="F59" s="3">
        <v>11</v>
      </c>
      <c r="G59">
        <v>2</v>
      </c>
      <c r="H59" s="3">
        <f t="shared" si="0"/>
        <v>2.358079084010543</v>
      </c>
      <c r="I59" s="3">
        <f t="shared" si="1"/>
        <v>1</v>
      </c>
    </row>
    <row r="60" spans="5:9" x14ac:dyDescent="0.25">
      <c r="E60" s="3">
        <v>5</v>
      </c>
      <c r="F60" s="3">
        <v>11</v>
      </c>
      <c r="G60">
        <v>10</v>
      </c>
      <c r="H60" s="3">
        <f t="shared" si="0"/>
        <v>1.0882993134768806</v>
      </c>
      <c r="I60" s="3">
        <f t="shared" si="1"/>
        <v>1</v>
      </c>
    </row>
    <row r="61" spans="5:9" x14ac:dyDescent="0.25">
      <c r="E61" s="3">
        <v>12</v>
      </c>
      <c r="F61" s="3">
        <v>11</v>
      </c>
      <c r="G61">
        <v>-7</v>
      </c>
      <c r="H61" s="3">
        <f t="shared" si="0"/>
        <v>-8.5955563320450672</v>
      </c>
      <c r="I61" s="3">
        <f t="shared" si="1"/>
        <v>1</v>
      </c>
    </row>
    <row r="62" spans="5:9" x14ac:dyDescent="0.25">
      <c r="E62" s="3">
        <v>11</v>
      </c>
      <c r="F62" s="3">
        <v>12</v>
      </c>
      <c r="G62">
        <v>-3</v>
      </c>
      <c r="H62" s="3">
        <f t="shared" si="0"/>
        <v>11.972559128996997</v>
      </c>
      <c r="I62" s="3">
        <f t="shared" si="1"/>
        <v>0</v>
      </c>
    </row>
    <row r="63" spans="5:9" x14ac:dyDescent="0.25">
      <c r="E63" s="3">
        <v>8</v>
      </c>
      <c r="F63" s="3">
        <v>12</v>
      </c>
      <c r="G63">
        <v>12</v>
      </c>
      <c r="H63" s="3">
        <f t="shared" si="0"/>
        <v>6.2454961292988198</v>
      </c>
      <c r="I63" s="3">
        <f t="shared" si="1"/>
        <v>1</v>
      </c>
    </row>
    <row r="64" spans="5:9" x14ac:dyDescent="0.25">
      <c r="E64" s="3">
        <v>6</v>
      </c>
      <c r="F64" s="3">
        <v>12</v>
      </c>
      <c r="G64">
        <v>18</v>
      </c>
      <c r="H64" s="3">
        <f t="shared" si="0"/>
        <v>6.8812809354707181</v>
      </c>
      <c r="I64" s="3">
        <f t="shared" si="1"/>
        <v>1</v>
      </c>
    </row>
    <row r="65" spans="5:9" x14ac:dyDescent="0.25">
      <c r="E65" s="3">
        <v>10</v>
      </c>
      <c r="F65" s="3">
        <v>12</v>
      </c>
      <c r="G65">
        <v>21</v>
      </c>
      <c r="H65" s="3">
        <f t="shared" si="0"/>
        <v>12.80324360000029</v>
      </c>
      <c r="I65" s="3">
        <f t="shared" si="1"/>
        <v>1</v>
      </c>
    </row>
    <row r="66" spans="5:9" x14ac:dyDescent="0.25">
      <c r="E66" s="3">
        <v>32</v>
      </c>
      <c r="F66" s="3">
        <v>13</v>
      </c>
      <c r="G66">
        <v>20</v>
      </c>
      <c r="H66" s="3">
        <f t="shared" si="0"/>
        <v>3.777498466285631</v>
      </c>
      <c r="I66" s="3">
        <f t="shared" si="1"/>
        <v>1</v>
      </c>
    </row>
    <row r="67" spans="5:9" x14ac:dyDescent="0.25">
      <c r="E67" s="3">
        <v>2</v>
      </c>
      <c r="F67" s="3">
        <v>13</v>
      </c>
      <c r="G67">
        <v>15</v>
      </c>
      <c r="H67" s="3">
        <f t="shared" ref="H67:H130" si="2">VLOOKUP(F67,$A$2:$C$33,3)+$C$35-VLOOKUP(E67,$A$2:$C$33,3)</f>
        <v>8.9065100984621193</v>
      </c>
      <c r="I67" s="3">
        <f t="shared" si="1"/>
        <v>1</v>
      </c>
    </row>
    <row r="68" spans="5:9" x14ac:dyDescent="0.25">
      <c r="E68" s="3">
        <v>21</v>
      </c>
      <c r="F68" s="3">
        <v>13</v>
      </c>
      <c r="G68">
        <v>-21</v>
      </c>
      <c r="H68" s="3">
        <f t="shared" si="2"/>
        <v>-1.8235668768135529</v>
      </c>
      <c r="I68" s="3">
        <f t="shared" si="1"/>
        <v>1</v>
      </c>
    </row>
    <row r="69" spans="5:9" x14ac:dyDescent="0.25">
      <c r="E69" s="3">
        <v>24</v>
      </c>
      <c r="F69" s="3">
        <v>13</v>
      </c>
      <c r="G69">
        <v>6</v>
      </c>
      <c r="H69" s="3">
        <f t="shared" si="2"/>
        <v>9.8731943023119868</v>
      </c>
      <c r="I69" s="3">
        <f t="shared" ref="I69:I132" si="3">IF(SIGN(G69)=SIGN(H69),1,0)</f>
        <v>1</v>
      </c>
    </row>
    <row r="70" spans="5:9" x14ac:dyDescent="0.25">
      <c r="E70" s="3">
        <v>13</v>
      </c>
      <c r="F70" s="3">
        <v>14</v>
      </c>
      <c r="G70">
        <v>9</v>
      </c>
      <c r="H70" s="3">
        <f t="shared" si="2"/>
        <v>-2.1595211298324424</v>
      </c>
      <c r="I70" s="3">
        <f t="shared" si="3"/>
        <v>0</v>
      </c>
    </row>
    <row r="71" spans="5:9" x14ac:dyDescent="0.25">
      <c r="E71" s="3">
        <v>18</v>
      </c>
      <c r="F71" s="3">
        <v>14</v>
      </c>
      <c r="G71">
        <v>3</v>
      </c>
      <c r="H71" s="3">
        <f t="shared" si="2"/>
        <v>5.6197408364296617</v>
      </c>
      <c r="I71" s="3">
        <f t="shared" si="3"/>
        <v>1</v>
      </c>
    </row>
    <row r="72" spans="5:9" x14ac:dyDescent="0.25">
      <c r="E72" s="3">
        <v>20</v>
      </c>
      <c r="F72" s="3">
        <v>14</v>
      </c>
      <c r="G72">
        <v>-5</v>
      </c>
      <c r="H72" s="3">
        <f t="shared" si="2"/>
        <v>-0.58019943793448103</v>
      </c>
      <c r="I72" s="3">
        <f t="shared" si="3"/>
        <v>1</v>
      </c>
    </row>
    <row r="73" spans="5:9" x14ac:dyDescent="0.25">
      <c r="E73" s="3">
        <v>8</v>
      </c>
      <c r="F73" s="3">
        <v>14</v>
      </c>
      <c r="G73">
        <v>-3</v>
      </c>
      <c r="H73" s="3">
        <f t="shared" si="2"/>
        <v>-2.7348876202106362</v>
      </c>
      <c r="I73" s="3">
        <f t="shared" si="3"/>
        <v>1</v>
      </c>
    </row>
    <row r="74" spans="5:9" x14ac:dyDescent="0.25">
      <c r="E74" s="3">
        <v>16</v>
      </c>
      <c r="F74" s="3">
        <v>14</v>
      </c>
      <c r="G74">
        <v>-1</v>
      </c>
      <c r="H74" s="3">
        <f t="shared" si="2"/>
        <v>1.088574070277998</v>
      </c>
      <c r="I74" s="3">
        <f t="shared" si="3"/>
        <v>0</v>
      </c>
    </row>
    <row r="75" spans="5:9" x14ac:dyDescent="0.25">
      <c r="E75" s="3">
        <v>26</v>
      </c>
      <c r="F75" s="3">
        <v>15</v>
      </c>
      <c r="G75">
        <v>17</v>
      </c>
      <c r="H75" s="3">
        <f t="shared" si="2"/>
        <v>7.1325766495204963</v>
      </c>
      <c r="I75" s="3">
        <f t="shared" si="3"/>
        <v>1</v>
      </c>
    </row>
    <row r="76" spans="5:9" x14ac:dyDescent="0.25">
      <c r="E76" s="3">
        <v>19</v>
      </c>
      <c r="F76" s="3">
        <v>15</v>
      </c>
      <c r="G76">
        <v>8</v>
      </c>
      <c r="H76" s="3">
        <f t="shared" si="2"/>
        <v>9.3319686961930657</v>
      </c>
      <c r="I76" s="3">
        <f t="shared" si="3"/>
        <v>1</v>
      </c>
    </row>
    <row r="77" spans="5:9" x14ac:dyDescent="0.25">
      <c r="E77" s="3">
        <v>30</v>
      </c>
      <c r="F77" s="3">
        <v>15</v>
      </c>
      <c r="G77">
        <v>9</v>
      </c>
      <c r="H77" s="3">
        <f t="shared" si="2"/>
        <v>0.33327859259421899</v>
      </c>
      <c r="I77" s="3">
        <f t="shared" si="3"/>
        <v>1</v>
      </c>
    </row>
    <row r="78" spans="5:9" x14ac:dyDescent="0.25">
      <c r="E78" s="3">
        <v>11</v>
      </c>
      <c r="F78" s="3">
        <v>15</v>
      </c>
      <c r="G78">
        <v>22</v>
      </c>
      <c r="H78" s="3">
        <f t="shared" si="2"/>
        <v>12.225238672071281</v>
      </c>
      <c r="I78" s="3">
        <f t="shared" si="3"/>
        <v>1</v>
      </c>
    </row>
    <row r="79" spans="5:9" x14ac:dyDescent="0.25">
      <c r="E79" s="3">
        <v>20</v>
      </c>
      <c r="F79" s="3">
        <v>15</v>
      </c>
      <c r="G79">
        <v>-11</v>
      </c>
      <c r="H79" s="3">
        <f t="shared" si="2"/>
        <v>8.6528638546492598</v>
      </c>
      <c r="I79" s="3">
        <f t="shared" si="3"/>
        <v>0</v>
      </c>
    </row>
    <row r="80" spans="5:9" x14ac:dyDescent="0.25">
      <c r="E80" s="3">
        <v>15</v>
      </c>
      <c r="F80" s="3">
        <v>16</v>
      </c>
      <c r="G80">
        <v>-3</v>
      </c>
      <c r="H80" s="3">
        <f t="shared" si="2"/>
        <v>-6.9446345659098103</v>
      </c>
      <c r="I80" s="3">
        <f t="shared" si="3"/>
        <v>1</v>
      </c>
    </row>
    <row r="81" spans="5:9" x14ac:dyDescent="0.25">
      <c r="E81" s="3">
        <v>20</v>
      </c>
      <c r="F81" s="3">
        <v>16</v>
      </c>
      <c r="G81">
        <v>9</v>
      </c>
      <c r="H81" s="3">
        <f t="shared" si="2"/>
        <v>1.9727890263485648E-2</v>
      </c>
      <c r="I81" s="3">
        <f t="shared" si="3"/>
        <v>1</v>
      </c>
    </row>
    <row r="82" spans="5:9" x14ac:dyDescent="0.25">
      <c r="E82" s="3">
        <v>32</v>
      </c>
      <c r="F82" s="3">
        <v>16</v>
      </c>
      <c r="G82">
        <v>-3</v>
      </c>
      <c r="H82" s="3">
        <f t="shared" si="2"/>
        <v>0.52940326617519151</v>
      </c>
      <c r="I82" s="3">
        <f t="shared" si="3"/>
        <v>0</v>
      </c>
    </row>
    <row r="83" spans="5:9" x14ac:dyDescent="0.25">
      <c r="E83" s="3">
        <v>8</v>
      </c>
      <c r="F83" s="3">
        <v>16</v>
      </c>
      <c r="G83">
        <v>-4</v>
      </c>
      <c r="H83" s="3">
        <f t="shared" si="2"/>
        <v>-2.1349602920126696</v>
      </c>
      <c r="I83" s="3">
        <f t="shared" si="3"/>
        <v>1</v>
      </c>
    </row>
    <row r="84" spans="5:9" x14ac:dyDescent="0.25">
      <c r="E84" s="3">
        <v>25</v>
      </c>
      <c r="F84" s="3">
        <v>16</v>
      </c>
      <c r="G84">
        <v>6</v>
      </c>
      <c r="H84" s="3">
        <f t="shared" si="2"/>
        <v>1.7729610065667005</v>
      </c>
      <c r="I84" s="3">
        <f t="shared" si="3"/>
        <v>1</v>
      </c>
    </row>
    <row r="85" spans="5:9" x14ac:dyDescent="0.25">
      <c r="E85" s="3">
        <v>21</v>
      </c>
      <c r="F85" s="3">
        <v>17</v>
      </c>
      <c r="G85">
        <v>3</v>
      </c>
      <c r="H85" s="3">
        <f t="shared" si="2"/>
        <v>-7.6620129416724598</v>
      </c>
      <c r="I85" s="3">
        <f t="shared" si="3"/>
        <v>0</v>
      </c>
    </row>
    <row r="86" spans="5:9" x14ac:dyDescent="0.25">
      <c r="E86" s="3">
        <v>28</v>
      </c>
      <c r="F86" s="3">
        <v>17</v>
      </c>
      <c r="G86">
        <v>-7</v>
      </c>
      <c r="H86" s="3">
        <f t="shared" si="2"/>
        <v>-2.9424004941768285</v>
      </c>
      <c r="I86" s="3">
        <f t="shared" si="3"/>
        <v>1</v>
      </c>
    </row>
    <row r="87" spans="5:9" x14ac:dyDescent="0.25">
      <c r="E87" s="3">
        <v>19</v>
      </c>
      <c r="F87" s="3">
        <v>17</v>
      </c>
      <c r="G87">
        <v>7</v>
      </c>
      <c r="H87" s="3">
        <f t="shared" si="2"/>
        <v>-1.8915181329411768</v>
      </c>
      <c r="I87" s="3">
        <f t="shared" si="3"/>
        <v>0</v>
      </c>
    </row>
    <row r="88" spans="5:9" x14ac:dyDescent="0.25">
      <c r="E88" s="3">
        <v>20</v>
      </c>
      <c r="F88" s="3">
        <v>17</v>
      </c>
      <c r="G88">
        <v>-1</v>
      </c>
      <c r="H88" s="3">
        <f t="shared" si="2"/>
        <v>-2.5706229744849818</v>
      </c>
      <c r="I88" s="3">
        <f t="shared" si="3"/>
        <v>1</v>
      </c>
    </row>
    <row r="89" spans="5:9" x14ac:dyDescent="0.25">
      <c r="E89" s="3">
        <v>15</v>
      </c>
      <c r="F89" s="3">
        <v>17</v>
      </c>
      <c r="G89">
        <v>-1</v>
      </c>
      <c r="H89" s="3">
        <f t="shared" si="2"/>
        <v>-9.5349854306582777</v>
      </c>
      <c r="I89" s="3">
        <f t="shared" si="3"/>
        <v>1</v>
      </c>
    </row>
    <row r="90" spans="5:9" x14ac:dyDescent="0.25">
      <c r="E90" s="3">
        <v>17</v>
      </c>
      <c r="F90" s="3">
        <v>18</v>
      </c>
      <c r="G90">
        <v>0</v>
      </c>
      <c r="H90" s="3">
        <f t="shared" si="2"/>
        <v>-0.25231450292723157</v>
      </c>
      <c r="I90" s="3">
        <f t="shared" si="3"/>
        <v>0</v>
      </c>
    </row>
    <row r="91" spans="5:9" x14ac:dyDescent="0.25">
      <c r="E91" s="3">
        <v>24</v>
      </c>
      <c r="F91" s="3">
        <v>18</v>
      </c>
      <c r="G91">
        <v>14</v>
      </c>
      <c r="H91" s="3">
        <f t="shared" si="2"/>
        <v>2.0939323360498836</v>
      </c>
      <c r="I91" s="3">
        <f t="shared" si="3"/>
        <v>1</v>
      </c>
    </row>
    <row r="92" spans="5:9" x14ac:dyDescent="0.25">
      <c r="E92" s="3">
        <v>28</v>
      </c>
      <c r="F92" s="3">
        <v>18</v>
      </c>
      <c r="G92">
        <v>-7</v>
      </c>
      <c r="H92" s="3">
        <f t="shared" si="2"/>
        <v>-4.8832163955800247</v>
      </c>
      <c r="I92" s="3">
        <f t="shared" si="3"/>
        <v>1</v>
      </c>
    </row>
    <row r="93" spans="5:9" x14ac:dyDescent="0.25">
      <c r="E93" s="3">
        <v>15</v>
      </c>
      <c r="F93" s="3">
        <v>18</v>
      </c>
      <c r="G93">
        <v>-12</v>
      </c>
      <c r="H93" s="3">
        <f t="shared" si="2"/>
        <v>-11.475801332061474</v>
      </c>
      <c r="I93" s="3">
        <f t="shared" si="3"/>
        <v>1</v>
      </c>
    </row>
    <row r="94" spans="5:9" x14ac:dyDescent="0.25">
      <c r="E94" s="3">
        <v>20</v>
      </c>
      <c r="F94" s="3">
        <v>18</v>
      </c>
      <c r="G94">
        <v>-13</v>
      </c>
      <c r="H94" s="3">
        <f t="shared" si="2"/>
        <v>-4.511438875888178</v>
      </c>
      <c r="I94" s="3">
        <f t="shared" si="3"/>
        <v>1</v>
      </c>
    </row>
    <row r="95" spans="5:9" x14ac:dyDescent="0.25">
      <c r="E95" s="3">
        <v>17</v>
      </c>
      <c r="F95" s="3">
        <v>19</v>
      </c>
      <c r="G95">
        <v>24</v>
      </c>
      <c r="H95" s="3">
        <f t="shared" si="2"/>
        <v>5.2685209298931062</v>
      </c>
      <c r="I95" s="3">
        <f t="shared" si="3"/>
        <v>1</v>
      </c>
    </row>
    <row r="96" spans="5:9" x14ac:dyDescent="0.25">
      <c r="E96" s="3">
        <v>18</v>
      </c>
      <c r="F96" s="3">
        <v>19</v>
      </c>
      <c r="G96">
        <v>-7</v>
      </c>
      <c r="H96" s="3">
        <f t="shared" si="2"/>
        <v>7.2093368312963024</v>
      </c>
      <c r="I96" s="3">
        <f t="shared" si="3"/>
        <v>0</v>
      </c>
    </row>
    <row r="97" spans="5:9" x14ac:dyDescent="0.25">
      <c r="E97" s="3">
        <v>27</v>
      </c>
      <c r="F97" s="3">
        <v>19</v>
      </c>
      <c r="G97">
        <v>-6</v>
      </c>
      <c r="H97" s="3">
        <f t="shared" si="2"/>
        <v>1.4385291567659504</v>
      </c>
      <c r="I97" s="3">
        <f t="shared" si="3"/>
        <v>0</v>
      </c>
    </row>
    <row r="98" spans="5:9" x14ac:dyDescent="0.25">
      <c r="E98" s="3">
        <v>23</v>
      </c>
      <c r="F98" s="3">
        <v>19</v>
      </c>
      <c r="G98">
        <v>7</v>
      </c>
      <c r="H98" s="3">
        <f t="shared" si="2"/>
        <v>5.0827876295840353</v>
      </c>
      <c r="I98" s="3">
        <f t="shared" si="3"/>
        <v>1</v>
      </c>
    </row>
    <row r="99" spans="5:9" x14ac:dyDescent="0.25">
      <c r="E99" s="3">
        <v>31</v>
      </c>
      <c r="F99" s="3">
        <v>19</v>
      </c>
      <c r="G99">
        <v>-4</v>
      </c>
      <c r="H99" s="3">
        <f t="shared" si="2"/>
        <v>5.0301147549325247</v>
      </c>
      <c r="I99" s="3">
        <f t="shared" si="3"/>
        <v>0</v>
      </c>
    </row>
    <row r="100" spans="5:9" x14ac:dyDescent="0.25">
      <c r="E100" s="3">
        <v>19</v>
      </c>
      <c r="F100" s="3">
        <v>20</v>
      </c>
      <c r="G100">
        <v>6</v>
      </c>
      <c r="H100" s="3">
        <f t="shared" si="2"/>
        <v>2.3676062400197688</v>
      </c>
      <c r="I100" s="3">
        <f t="shared" si="3"/>
        <v>1</v>
      </c>
    </row>
    <row r="101" spans="5:9" x14ac:dyDescent="0.25">
      <c r="E101" s="3">
        <v>15</v>
      </c>
      <c r="F101" s="3">
        <v>20</v>
      </c>
      <c r="G101">
        <v>-16</v>
      </c>
      <c r="H101" s="3">
        <f t="shared" si="2"/>
        <v>-5.2758610576973322</v>
      </c>
      <c r="I101" s="3">
        <f t="shared" si="3"/>
        <v>1</v>
      </c>
    </row>
    <row r="102" spans="5:9" x14ac:dyDescent="0.25">
      <c r="E102" s="3">
        <v>28</v>
      </c>
      <c r="F102" s="3">
        <v>20</v>
      </c>
      <c r="G102">
        <v>-4</v>
      </c>
      <c r="H102" s="3">
        <f t="shared" si="2"/>
        <v>1.3167238787841171</v>
      </c>
      <c r="I102" s="3">
        <f t="shared" si="3"/>
        <v>0</v>
      </c>
    </row>
    <row r="103" spans="5:9" x14ac:dyDescent="0.25">
      <c r="E103" s="3">
        <v>25</v>
      </c>
      <c r="F103" s="3">
        <v>20</v>
      </c>
      <c r="G103">
        <v>2</v>
      </c>
      <c r="H103" s="3">
        <f t="shared" si="2"/>
        <v>3.4417345147791787</v>
      </c>
      <c r="I103" s="3">
        <f t="shared" si="3"/>
        <v>1</v>
      </c>
    </row>
    <row r="104" spans="5:9" x14ac:dyDescent="0.25">
      <c r="E104" s="3">
        <v>26</v>
      </c>
      <c r="F104" s="3">
        <v>20</v>
      </c>
      <c r="G104">
        <v>-3</v>
      </c>
      <c r="H104" s="3">
        <f t="shared" si="2"/>
        <v>0.16821419334720034</v>
      </c>
      <c r="I104" s="3">
        <f t="shared" si="3"/>
        <v>0</v>
      </c>
    </row>
    <row r="105" spans="5:9" x14ac:dyDescent="0.25">
      <c r="E105" s="3">
        <v>24</v>
      </c>
      <c r="F105" s="3">
        <v>21</v>
      </c>
      <c r="G105">
        <v>3</v>
      </c>
      <c r="H105" s="3">
        <f t="shared" si="2"/>
        <v>13.385262577601504</v>
      </c>
      <c r="I105" s="3">
        <f t="shared" si="3"/>
        <v>1</v>
      </c>
    </row>
    <row r="106" spans="5:9" x14ac:dyDescent="0.25">
      <c r="E106" s="3">
        <v>23</v>
      </c>
      <c r="F106" s="3">
        <v>21</v>
      </c>
      <c r="G106">
        <v>1</v>
      </c>
      <c r="H106" s="3">
        <f t="shared" si="2"/>
        <v>10.853282438315318</v>
      </c>
      <c r="I106" s="3">
        <f t="shared" si="3"/>
        <v>1</v>
      </c>
    </row>
    <row r="107" spans="5:9" x14ac:dyDescent="0.25">
      <c r="E107" s="3">
        <v>1</v>
      </c>
      <c r="F107" s="3">
        <v>21</v>
      </c>
      <c r="G107">
        <v>-4</v>
      </c>
      <c r="H107" s="3">
        <f t="shared" si="2"/>
        <v>-5.4641564184644889</v>
      </c>
      <c r="I107" s="3">
        <f t="shared" si="3"/>
        <v>1</v>
      </c>
    </row>
    <row r="108" spans="5:9" x14ac:dyDescent="0.25">
      <c r="E108" s="3">
        <v>28</v>
      </c>
      <c r="F108" s="3">
        <v>21</v>
      </c>
      <c r="G108">
        <v>3</v>
      </c>
      <c r="H108" s="3">
        <f t="shared" si="2"/>
        <v>6.4081138459715952</v>
      </c>
      <c r="I108" s="3">
        <f t="shared" si="3"/>
        <v>1</v>
      </c>
    </row>
    <row r="109" spans="5:9" x14ac:dyDescent="0.25">
      <c r="E109" s="3">
        <v>19</v>
      </c>
      <c r="F109" s="3">
        <v>21</v>
      </c>
      <c r="G109">
        <v>10</v>
      </c>
      <c r="H109" s="3">
        <f t="shared" si="2"/>
        <v>7.4589962072072469</v>
      </c>
      <c r="I109" s="3">
        <f t="shared" si="3"/>
        <v>1</v>
      </c>
    </row>
    <row r="110" spans="5:9" x14ac:dyDescent="0.25">
      <c r="E110" s="3">
        <v>21</v>
      </c>
      <c r="F110" s="3">
        <v>22</v>
      </c>
      <c r="G110">
        <v>-23</v>
      </c>
      <c r="H110" s="3">
        <f t="shared" si="2"/>
        <v>-7.2198193805661273</v>
      </c>
      <c r="I110" s="3">
        <f t="shared" si="3"/>
        <v>1</v>
      </c>
    </row>
    <row r="111" spans="5:9" x14ac:dyDescent="0.25">
      <c r="E111" s="3">
        <v>2</v>
      </c>
      <c r="F111" s="3">
        <v>22</v>
      </c>
      <c r="G111">
        <v>-8</v>
      </c>
      <c r="H111" s="3">
        <f t="shared" si="2"/>
        <v>3.5102575947095449</v>
      </c>
      <c r="I111" s="3">
        <f t="shared" si="3"/>
        <v>0</v>
      </c>
    </row>
    <row r="112" spans="5:9" x14ac:dyDescent="0.25">
      <c r="E112" s="3">
        <v>15</v>
      </c>
      <c r="F112" s="3">
        <v>22</v>
      </c>
      <c r="G112">
        <v>-3</v>
      </c>
      <c r="H112" s="3">
        <f t="shared" si="2"/>
        <v>-9.0927918695519452</v>
      </c>
      <c r="I112" s="3">
        <f t="shared" si="3"/>
        <v>1</v>
      </c>
    </row>
    <row r="113" spans="5:9" x14ac:dyDescent="0.25">
      <c r="E113" s="3">
        <v>5</v>
      </c>
      <c r="F113" s="3">
        <v>22</v>
      </c>
      <c r="G113">
        <v>8</v>
      </c>
      <c r="H113" s="3">
        <f t="shared" si="2"/>
        <v>0.84374331904428823</v>
      </c>
      <c r="I113" s="3">
        <f t="shared" si="3"/>
        <v>1</v>
      </c>
    </row>
    <row r="114" spans="5:9" x14ac:dyDescent="0.25">
      <c r="E114" s="3">
        <v>32</v>
      </c>
      <c r="F114" s="3">
        <v>22</v>
      </c>
      <c r="G114">
        <v>-10</v>
      </c>
      <c r="H114" s="3">
        <f t="shared" si="2"/>
        <v>-1.6187540374669434</v>
      </c>
      <c r="I114" s="3">
        <f t="shared" si="3"/>
        <v>1</v>
      </c>
    </row>
    <row r="115" spans="5:9" x14ac:dyDescent="0.25">
      <c r="E115" s="3">
        <v>22</v>
      </c>
      <c r="F115" s="3">
        <v>23</v>
      </c>
      <c r="G115">
        <v>-6</v>
      </c>
      <c r="H115" s="3">
        <f t="shared" si="2"/>
        <v>1.4320411376787026</v>
      </c>
      <c r="I115" s="3">
        <f t="shared" si="3"/>
        <v>0</v>
      </c>
    </row>
    <row r="116" spans="5:9" x14ac:dyDescent="0.25">
      <c r="E116" s="3">
        <v>31</v>
      </c>
      <c r="F116" s="3">
        <v>23</v>
      </c>
      <c r="G116">
        <v>9</v>
      </c>
      <c r="H116" s="3">
        <f t="shared" si="2"/>
        <v>1.6358285238244541</v>
      </c>
      <c r="I116" s="3">
        <f t="shared" si="3"/>
        <v>1</v>
      </c>
    </row>
    <row r="117" spans="5:9" x14ac:dyDescent="0.25">
      <c r="E117" s="3">
        <v>18</v>
      </c>
      <c r="F117" s="3">
        <v>23</v>
      </c>
      <c r="G117">
        <v>18</v>
      </c>
      <c r="H117" s="3">
        <f t="shared" si="2"/>
        <v>3.8150506001882314</v>
      </c>
      <c r="I117" s="3">
        <f t="shared" si="3"/>
        <v>1</v>
      </c>
    </row>
    <row r="118" spans="5:9" x14ac:dyDescent="0.25">
      <c r="E118" s="3">
        <v>17</v>
      </c>
      <c r="F118" s="3">
        <v>23</v>
      </c>
      <c r="G118">
        <v>-5</v>
      </c>
      <c r="H118" s="3">
        <f t="shared" si="2"/>
        <v>1.8742346987850356</v>
      </c>
      <c r="I118" s="3">
        <f t="shared" si="3"/>
        <v>0</v>
      </c>
    </row>
    <row r="119" spans="5:9" x14ac:dyDescent="0.25">
      <c r="E119" s="3">
        <v>23</v>
      </c>
      <c r="F119" s="3">
        <v>24</v>
      </c>
      <c r="G119">
        <v>5</v>
      </c>
      <c r="H119" s="3">
        <f t="shared" si="2"/>
        <v>-0.84347874081022156</v>
      </c>
      <c r="I119" s="3">
        <f t="shared" si="3"/>
        <v>0</v>
      </c>
    </row>
    <row r="120" spans="5:9" x14ac:dyDescent="0.25">
      <c r="E120" s="3">
        <v>19</v>
      </c>
      <c r="F120" s="3">
        <v>24</v>
      </c>
      <c r="G120">
        <v>-28</v>
      </c>
      <c r="H120" s="3">
        <f t="shared" si="2"/>
        <v>-4.2377649719182919</v>
      </c>
      <c r="I120" s="3">
        <f t="shared" si="3"/>
        <v>1</v>
      </c>
    </row>
    <row r="121" spans="5:9" x14ac:dyDescent="0.25">
      <c r="E121" s="3">
        <v>31</v>
      </c>
      <c r="F121" s="3">
        <v>24</v>
      </c>
      <c r="G121">
        <v>3</v>
      </c>
      <c r="H121" s="3">
        <f t="shared" si="2"/>
        <v>-0.89615161546173217</v>
      </c>
      <c r="I121" s="3">
        <f t="shared" si="3"/>
        <v>0</v>
      </c>
    </row>
    <row r="122" spans="5:9" x14ac:dyDescent="0.25">
      <c r="E122" s="3">
        <v>32</v>
      </c>
      <c r="F122" s="3">
        <v>24</v>
      </c>
      <c r="G122">
        <v>-14</v>
      </c>
      <c r="H122" s="3">
        <f t="shared" si="2"/>
        <v>-4.4071944375503911</v>
      </c>
      <c r="I122" s="3">
        <f t="shared" si="3"/>
        <v>1</v>
      </c>
    </row>
    <row r="123" spans="5:9" x14ac:dyDescent="0.25">
      <c r="E123" s="3">
        <v>21</v>
      </c>
      <c r="F123" s="3">
        <v>24</v>
      </c>
      <c r="G123">
        <v>-3</v>
      </c>
      <c r="H123" s="3">
        <f t="shared" si="2"/>
        <v>-10.008259780649576</v>
      </c>
      <c r="I123" s="3">
        <f t="shared" si="3"/>
        <v>1</v>
      </c>
    </row>
    <row r="124" spans="5:9" x14ac:dyDescent="0.25">
      <c r="E124" s="3">
        <v>14</v>
      </c>
      <c r="F124" s="3">
        <v>25</v>
      </c>
      <c r="G124">
        <v>17</v>
      </c>
      <c r="H124" s="3">
        <f t="shared" si="2"/>
        <v>2.2039691185831956</v>
      </c>
      <c r="I124" s="3">
        <f t="shared" si="3"/>
        <v>1</v>
      </c>
    </row>
    <row r="125" spans="5:9" x14ac:dyDescent="0.25">
      <c r="E125" s="3">
        <v>7</v>
      </c>
      <c r="F125" s="3">
        <v>25</v>
      </c>
      <c r="G125">
        <v>3</v>
      </c>
      <c r="H125" s="3">
        <f t="shared" si="2"/>
        <v>-1.3788146632690088</v>
      </c>
      <c r="I125" s="3">
        <f t="shared" si="3"/>
        <v>0</v>
      </c>
    </row>
    <row r="126" spans="5:9" x14ac:dyDescent="0.25">
      <c r="E126" s="3">
        <v>27</v>
      </c>
      <c r="F126" s="3">
        <v>25</v>
      </c>
      <c r="G126">
        <v>-5</v>
      </c>
      <c r="H126" s="3">
        <f t="shared" si="2"/>
        <v>0.36440088200654053</v>
      </c>
      <c r="I126" s="3">
        <f t="shared" si="3"/>
        <v>0</v>
      </c>
    </row>
    <row r="127" spans="5:9" x14ac:dyDescent="0.25">
      <c r="E127" s="3">
        <v>4</v>
      </c>
      <c r="F127" s="3">
        <v>25</v>
      </c>
      <c r="G127">
        <v>-17</v>
      </c>
      <c r="H127" s="3">
        <f t="shared" si="2"/>
        <v>-8.3064488821016056</v>
      </c>
      <c r="I127" s="3">
        <f t="shared" si="3"/>
        <v>1</v>
      </c>
    </row>
    <row r="128" spans="5:9" x14ac:dyDescent="0.25">
      <c r="E128" s="3">
        <v>30</v>
      </c>
      <c r="F128" s="3">
        <v>25</v>
      </c>
      <c r="G128">
        <v>3</v>
      </c>
      <c r="H128" s="3">
        <f t="shared" si="2"/>
        <v>-8.384316979882291</v>
      </c>
      <c r="I128" s="3">
        <f t="shared" si="3"/>
        <v>0</v>
      </c>
    </row>
    <row r="129" spans="5:9" x14ac:dyDescent="0.25">
      <c r="E129" s="3">
        <v>28</v>
      </c>
      <c r="F129" s="3">
        <v>25</v>
      </c>
      <c r="G129">
        <v>-10</v>
      </c>
      <c r="H129" s="3">
        <f t="shared" si="2"/>
        <v>-0.43650923751909687</v>
      </c>
      <c r="I129" s="3">
        <f t="shared" si="3"/>
        <v>1</v>
      </c>
    </row>
    <row r="130" spans="5:9" x14ac:dyDescent="0.25">
      <c r="E130" s="3">
        <v>25</v>
      </c>
      <c r="F130" s="3">
        <v>26</v>
      </c>
      <c r="G130">
        <v>16</v>
      </c>
      <c r="H130" s="3">
        <f t="shared" si="2"/>
        <v>4.9620217199079422</v>
      </c>
      <c r="I130" s="3">
        <f t="shared" si="3"/>
        <v>1</v>
      </c>
    </row>
    <row r="131" spans="5:9" x14ac:dyDescent="0.25">
      <c r="E131" s="3">
        <v>16</v>
      </c>
      <c r="F131" s="3">
        <v>26</v>
      </c>
      <c r="G131">
        <v>4</v>
      </c>
      <c r="H131" s="3">
        <f t="shared" ref="H131:H164" si="4">VLOOKUP(F131,$A$2:$C$33,3)+$C$35-VLOOKUP(E131,$A$2:$C$33,3)</f>
        <v>4.8775621118172063</v>
      </c>
      <c r="I131" s="3">
        <f t="shared" si="3"/>
        <v>1</v>
      </c>
    </row>
    <row r="132" spans="5:9" x14ac:dyDescent="0.25">
      <c r="E132" s="3">
        <v>14</v>
      </c>
      <c r="F132" s="3">
        <v>26</v>
      </c>
      <c r="G132">
        <v>7</v>
      </c>
      <c r="H132" s="3">
        <f t="shared" si="4"/>
        <v>5.477489440015173</v>
      </c>
      <c r="I132" s="3">
        <f t="shared" si="3"/>
        <v>1</v>
      </c>
    </row>
    <row r="133" spans="5:9" x14ac:dyDescent="0.25">
      <c r="E133" s="3">
        <v>22</v>
      </c>
      <c r="F133" s="3">
        <v>26</v>
      </c>
      <c r="G133">
        <v>8</v>
      </c>
      <c r="H133" s="3">
        <f t="shared" si="4"/>
        <v>7.0257194154593403</v>
      </c>
      <c r="I133" s="3">
        <f t="shared" ref="I133:I164" si="5">IF(SIGN(G133)=SIGN(H133),1,0)</f>
        <v>1</v>
      </c>
    </row>
    <row r="134" spans="5:9" x14ac:dyDescent="0.25">
      <c r="E134" s="3">
        <v>30</v>
      </c>
      <c r="F134" s="3">
        <v>26</v>
      </c>
      <c r="G134">
        <v>-37</v>
      </c>
      <c r="H134" s="3">
        <f t="shared" si="4"/>
        <v>-5.1107966584503135</v>
      </c>
      <c r="I134" s="3">
        <f t="shared" si="5"/>
        <v>1</v>
      </c>
    </row>
    <row r="135" spans="5:9" x14ac:dyDescent="0.25">
      <c r="E135" s="3">
        <v>10</v>
      </c>
      <c r="F135" s="3">
        <v>27</v>
      </c>
      <c r="G135">
        <v>3</v>
      </c>
      <c r="H135" s="3">
        <f t="shared" si="4"/>
        <v>5.6624280870674895</v>
      </c>
      <c r="I135" s="3">
        <f t="shared" si="5"/>
        <v>1</v>
      </c>
    </row>
    <row r="136" spans="5:9" x14ac:dyDescent="0.25">
      <c r="E136" s="3">
        <v>30</v>
      </c>
      <c r="F136" s="3">
        <v>27</v>
      </c>
      <c r="G136">
        <v>-7</v>
      </c>
      <c r="H136" s="3">
        <f t="shared" si="4"/>
        <v>-7.0602164634128668</v>
      </c>
      <c r="I136" s="3">
        <f t="shared" si="5"/>
        <v>1</v>
      </c>
    </row>
    <row r="137" spans="5:9" x14ac:dyDescent="0.25">
      <c r="E137" s="3">
        <v>14</v>
      </c>
      <c r="F137" s="3">
        <v>27</v>
      </c>
      <c r="G137">
        <v>8</v>
      </c>
      <c r="H137" s="3">
        <f t="shared" si="4"/>
        <v>3.5280696350526197</v>
      </c>
      <c r="I137" s="3">
        <f t="shared" si="5"/>
        <v>1</v>
      </c>
    </row>
    <row r="138" spans="5:9" x14ac:dyDescent="0.25">
      <c r="E138" s="3">
        <v>3</v>
      </c>
      <c r="F138" s="3">
        <v>27</v>
      </c>
      <c r="G138">
        <v>4</v>
      </c>
      <c r="H138" s="3">
        <f t="shared" si="4"/>
        <v>-5.6174326327988302</v>
      </c>
      <c r="I138" s="3">
        <f t="shared" si="5"/>
        <v>0</v>
      </c>
    </row>
    <row r="139" spans="5:9" x14ac:dyDescent="0.25">
      <c r="E139" s="3">
        <v>18</v>
      </c>
      <c r="F139" s="3">
        <v>27</v>
      </c>
      <c r="G139">
        <v>8</v>
      </c>
      <c r="H139" s="3">
        <f t="shared" si="4"/>
        <v>7.4593090730063167</v>
      </c>
      <c r="I139" s="3">
        <f t="shared" si="5"/>
        <v>1</v>
      </c>
    </row>
    <row r="140" spans="5:9" x14ac:dyDescent="0.25">
      <c r="E140" s="3">
        <v>16</v>
      </c>
      <c r="F140" s="3">
        <v>27</v>
      </c>
      <c r="G140">
        <v>-13</v>
      </c>
      <c r="H140" s="3">
        <f t="shared" si="4"/>
        <v>2.928142306854653</v>
      </c>
      <c r="I140" s="3">
        <f t="shared" si="5"/>
        <v>0</v>
      </c>
    </row>
    <row r="141" spans="5:9" x14ac:dyDescent="0.25">
      <c r="E141" s="3">
        <v>27</v>
      </c>
      <c r="F141" s="3">
        <v>28</v>
      </c>
      <c r="G141">
        <v>-1</v>
      </c>
      <c r="H141" s="3">
        <f t="shared" si="4"/>
        <v>2.4894115180016012</v>
      </c>
      <c r="I141" s="3">
        <f t="shared" si="5"/>
        <v>0</v>
      </c>
    </row>
    <row r="142" spans="5:9" x14ac:dyDescent="0.25">
      <c r="E142" s="3">
        <v>23</v>
      </c>
      <c r="F142" s="3">
        <v>28</v>
      </c>
      <c r="G142">
        <v>2</v>
      </c>
      <c r="H142" s="3">
        <f t="shared" si="4"/>
        <v>6.1336699908196861</v>
      </c>
      <c r="I142" s="3">
        <f t="shared" si="5"/>
        <v>1</v>
      </c>
    </row>
    <row r="143" spans="5:9" x14ac:dyDescent="0.25">
      <c r="E143" s="3">
        <v>17</v>
      </c>
      <c r="F143" s="3">
        <v>28</v>
      </c>
      <c r="G143">
        <v>9</v>
      </c>
      <c r="H143" s="3">
        <f t="shared" si="4"/>
        <v>6.319403291128757</v>
      </c>
      <c r="I143" s="3">
        <f t="shared" si="5"/>
        <v>1</v>
      </c>
    </row>
    <row r="144" spans="5:9" x14ac:dyDescent="0.25">
      <c r="E144" s="3">
        <v>31</v>
      </c>
      <c r="F144" s="3">
        <v>28</v>
      </c>
      <c r="G144">
        <v>7</v>
      </c>
      <c r="H144" s="3">
        <f t="shared" si="4"/>
        <v>6.0809971161681755</v>
      </c>
      <c r="I144" s="3">
        <f t="shared" si="5"/>
        <v>1</v>
      </c>
    </row>
    <row r="145" spans="5:10" x14ac:dyDescent="0.25">
      <c r="E145" s="3">
        <v>25</v>
      </c>
      <c r="F145" s="3">
        <v>29</v>
      </c>
      <c r="G145">
        <v>-2</v>
      </c>
      <c r="H145" s="3">
        <f t="shared" si="4"/>
        <v>-0.80021798817742074</v>
      </c>
      <c r="I145" s="3">
        <f t="shared" si="5"/>
        <v>1</v>
      </c>
    </row>
    <row r="146" spans="5:10" x14ac:dyDescent="0.25">
      <c r="E146" s="3">
        <v>21</v>
      </c>
      <c r="F146" s="3">
        <v>29</v>
      </c>
      <c r="G146">
        <v>-10</v>
      </c>
      <c r="H146" s="3">
        <f t="shared" si="4"/>
        <v>-7.6448410716681137</v>
      </c>
      <c r="I146" s="3">
        <f t="shared" si="5"/>
        <v>1</v>
      </c>
    </row>
    <row r="147" spans="5:10" x14ac:dyDescent="0.25">
      <c r="E147" s="3">
        <v>6</v>
      </c>
      <c r="F147" s="3">
        <v>29</v>
      </c>
      <c r="G147">
        <v>-39</v>
      </c>
      <c r="H147" s="3">
        <f t="shared" si="4"/>
        <v>-4.0723544805848926</v>
      </c>
      <c r="I147" s="3">
        <f t="shared" si="5"/>
        <v>1</v>
      </c>
    </row>
    <row r="148" spans="5:10" x14ac:dyDescent="0.25">
      <c r="E148" s="3">
        <v>3</v>
      </c>
      <c r="F148" s="3">
        <v>29</v>
      </c>
      <c r="G148">
        <v>-5</v>
      </c>
      <c r="H148" s="3">
        <f t="shared" si="4"/>
        <v>-9.4302525359216389</v>
      </c>
      <c r="I148" s="3">
        <f t="shared" si="5"/>
        <v>1</v>
      </c>
    </row>
    <row r="149" spans="5:10" x14ac:dyDescent="0.25">
      <c r="E149" s="3">
        <v>2</v>
      </c>
      <c r="F149" s="3">
        <v>29</v>
      </c>
      <c r="G149">
        <v>3</v>
      </c>
      <c r="H149" s="3">
        <f t="shared" si="4"/>
        <v>3.0852359036075585</v>
      </c>
      <c r="I149" s="3">
        <f t="shared" si="5"/>
        <v>1</v>
      </c>
    </row>
    <row r="150" spans="5:10" x14ac:dyDescent="0.25">
      <c r="E150" s="3">
        <v>32</v>
      </c>
      <c r="F150" s="3">
        <v>29</v>
      </c>
      <c r="G150">
        <v>5</v>
      </c>
      <c r="H150" s="3">
        <f t="shared" si="4"/>
        <v>-2.0437757285689298</v>
      </c>
      <c r="I150" s="3">
        <f t="shared" si="5"/>
        <v>0</v>
      </c>
    </row>
    <row r="151" spans="5:10" x14ac:dyDescent="0.25">
      <c r="E151" s="3">
        <v>29</v>
      </c>
      <c r="F151" s="3">
        <v>30</v>
      </c>
      <c r="G151">
        <v>-16</v>
      </c>
      <c r="H151" s="3">
        <f t="shared" si="4"/>
        <v>14.250039163487605</v>
      </c>
      <c r="I151" s="3">
        <f t="shared" si="5"/>
        <v>0</v>
      </c>
    </row>
    <row r="152" spans="5:10" x14ac:dyDescent="0.25">
      <c r="E152" s="3">
        <v>12</v>
      </c>
      <c r="F152" s="3">
        <v>30</v>
      </c>
      <c r="G152">
        <v>3</v>
      </c>
      <c r="H152" s="3">
        <f t="shared" si="4"/>
        <v>3.2964037474319934</v>
      </c>
      <c r="I152" s="3">
        <f t="shared" si="5"/>
        <v>1</v>
      </c>
    </row>
    <row r="153" spans="5:10" x14ac:dyDescent="0.25">
      <c r="E153" s="3">
        <v>20</v>
      </c>
      <c r="F153" s="3">
        <v>30</v>
      </c>
      <c r="G153">
        <v>15</v>
      </c>
      <c r="H153" s="3">
        <f t="shared" si="4"/>
        <v>10.008086660531005</v>
      </c>
      <c r="I153" s="3">
        <f t="shared" si="5"/>
        <v>1</v>
      </c>
    </row>
    <row r="154" spans="5:10" x14ac:dyDescent="0.25">
      <c r="E154" s="3">
        <v>16</v>
      </c>
      <c r="F154" s="3">
        <v>30</v>
      </c>
      <c r="G154">
        <v>18</v>
      </c>
      <c r="H154" s="3">
        <f t="shared" si="4"/>
        <v>11.676860168743485</v>
      </c>
      <c r="I154" s="3">
        <f t="shared" si="5"/>
        <v>1</v>
      </c>
    </row>
    <row r="155" spans="5:10" x14ac:dyDescent="0.25">
      <c r="E155" s="3">
        <v>14</v>
      </c>
      <c r="F155" s="3">
        <v>30</v>
      </c>
      <c r="G155">
        <v>20</v>
      </c>
      <c r="H155" s="3">
        <f t="shared" si="4"/>
        <v>12.27678749694145</v>
      </c>
      <c r="I155" s="3">
        <f t="shared" si="5"/>
        <v>1</v>
      </c>
    </row>
    <row r="156" spans="5:10" x14ac:dyDescent="0.25">
      <c r="E156" s="3">
        <v>18</v>
      </c>
      <c r="F156" s="3">
        <v>31</v>
      </c>
      <c r="G156">
        <v>7</v>
      </c>
      <c r="H156" s="3">
        <f t="shared" si="4"/>
        <v>3.867723474839742</v>
      </c>
      <c r="I156" s="3">
        <f t="shared" si="5"/>
        <v>1</v>
      </c>
      <c r="J156" s="3" t="s">
        <v>41</v>
      </c>
    </row>
    <row r="157" spans="5:10" x14ac:dyDescent="0.25">
      <c r="E157" s="3">
        <v>13</v>
      </c>
      <c r="F157" s="3">
        <v>31</v>
      </c>
      <c r="G157">
        <v>1</v>
      </c>
      <c r="H157" s="3">
        <f t="shared" si="4"/>
        <v>-3.9115384914223617</v>
      </c>
      <c r="I157" s="3">
        <f t="shared" si="5"/>
        <v>0</v>
      </c>
    </row>
    <row r="158" spans="5:10" x14ac:dyDescent="0.25">
      <c r="E158" s="3">
        <v>17</v>
      </c>
      <c r="F158" s="3">
        <v>31</v>
      </c>
      <c r="G158">
        <v>-3</v>
      </c>
      <c r="H158" s="3">
        <f t="shared" si="4"/>
        <v>1.9269075734365462</v>
      </c>
      <c r="I158" s="3">
        <f t="shared" si="5"/>
        <v>0</v>
      </c>
    </row>
    <row r="159" spans="5:10" x14ac:dyDescent="0.25">
      <c r="E159" s="3">
        <v>4</v>
      </c>
      <c r="F159" s="3">
        <v>31</v>
      </c>
      <c r="G159">
        <v>-7</v>
      </c>
      <c r="H159" s="3">
        <f t="shared" si="4"/>
        <v>-10.573933963798755</v>
      </c>
      <c r="I159" s="3">
        <f t="shared" si="5"/>
        <v>1</v>
      </c>
    </row>
    <row r="160" spans="5:10" x14ac:dyDescent="0.25">
      <c r="E160" s="3">
        <v>23</v>
      </c>
      <c r="F160" s="3">
        <v>31</v>
      </c>
      <c r="G160">
        <v>-6</v>
      </c>
      <c r="H160" s="3">
        <f t="shared" si="4"/>
        <v>1.7411742731274753</v>
      </c>
      <c r="I160" s="3">
        <f t="shared" si="5"/>
        <v>0</v>
      </c>
    </row>
    <row r="161" spans="5:15" x14ac:dyDescent="0.25">
      <c r="E161" s="3">
        <v>31</v>
      </c>
      <c r="F161" s="3">
        <v>32</v>
      </c>
      <c r="G161">
        <v>1</v>
      </c>
      <c r="H161" s="3">
        <f t="shared" si="4"/>
        <v>5.1995442205646238</v>
      </c>
      <c r="I161" s="3">
        <f t="shared" si="5"/>
        <v>1</v>
      </c>
    </row>
    <row r="162" spans="5:15" x14ac:dyDescent="0.25">
      <c r="E162" s="3">
        <v>6</v>
      </c>
      <c r="F162" s="3">
        <v>32</v>
      </c>
      <c r="G162">
        <v>-4</v>
      </c>
      <c r="H162" s="3">
        <f t="shared" si="4"/>
        <v>-0.34007735353999813</v>
      </c>
      <c r="I162" s="3">
        <f t="shared" si="5"/>
        <v>1</v>
      </c>
    </row>
    <row r="163" spans="5:15" x14ac:dyDescent="0.25">
      <c r="E163" s="3">
        <v>22</v>
      </c>
      <c r="F163" s="3">
        <v>32</v>
      </c>
      <c r="G163">
        <v>10</v>
      </c>
      <c r="H163" s="3">
        <f t="shared" si="4"/>
        <v>4.9957568344188719</v>
      </c>
      <c r="I163" s="3">
        <f t="shared" si="5"/>
        <v>1</v>
      </c>
    </row>
    <row r="164" spans="5:15" x14ac:dyDescent="0.25">
      <c r="E164" s="3">
        <v>27</v>
      </c>
      <c r="F164" s="3">
        <v>32</v>
      </c>
      <c r="G164">
        <v>14</v>
      </c>
      <c r="H164" s="3">
        <f t="shared" si="4"/>
        <v>1.6079586223980495</v>
      </c>
      <c r="I164" s="3">
        <f t="shared" si="5"/>
        <v>1</v>
      </c>
    </row>
    <row r="165" spans="5:15" x14ac:dyDescent="0.25">
      <c r="H165" s="3" t="s">
        <v>43</v>
      </c>
      <c r="I165" s="3">
        <f>SUM(I2:I164)</f>
        <v>116</v>
      </c>
    </row>
    <row r="167" spans="5:15" x14ac:dyDescent="0.25">
      <c r="J167" t="s">
        <v>44</v>
      </c>
      <c r="L167">
        <v>163</v>
      </c>
      <c r="M167" t="s">
        <v>45</v>
      </c>
      <c r="O167">
        <v>116</v>
      </c>
    </row>
    <row r="169" spans="5:15" x14ac:dyDescent="0.25">
      <c r="N169" t="s">
        <v>46</v>
      </c>
      <c r="O169" s="6">
        <f>+I165/L167</f>
        <v>0.71165644171779141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 Van Hof</dc:creator>
  <cp:lastModifiedBy>Bret Van Hof</cp:lastModifiedBy>
  <dcterms:created xsi:type="dcterms:W3CDTF">2022-11-12T21:30:19Z</dcterms:created>
  <dcterms:modified xsi:type="dcterms:W3CDTF">2022-11-28T06:21:22Z</dcterms:modified>
</cp:coreProperties>
</file>